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ml.chartshap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persons/person.xml" ContentType="application/vnd.ms-excel.person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narwal.sharepoint.com/sites/ProjectsandEngineeringNotes/Shared Documents/Project Management/Capacity Planning/"/>
    </mc:Choice>
  </mc:AlternateContent>
  <xr:revisionPtr revIDLastSave="14" documentId="8_{AD1AC74B-081D-4B49-B825-E3EF62E9ECE3}" xr6:coauthVersionLast="47" xr6:coauthVersionMax="47" xr10:uidLastSave="{01440416-98F9-41FC-BDB3-6201298B0A87}"/>
  <bookViews>
    <workbookView xWindow="-7005" yWindow="-16200" windowWidth="29010" windowHeight="15585" firstSheet="1" activeTab="1" xr2:uid="{00000000-000D-0000-FFFF-FFFF00000000}"/>
  </bookViews>
  <sheets>
    <sheet name="Resource" sheetId="1" r:id="rId1"/>
    <sheet name="Sheet3" sheetId="4" r:id="rId2"/>
    <sheet name="PM Request" sheetId="2" r:id="rId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4" i="4" l="1"/>
  <c r="N104" i="4"/>
  <c r="L104" i="4"/>
  <c r="J104" i="4"/>
  <c r="H104" i="4"/>
  <c r="D109" i="4"/>
  <c r="D110" i="4"/>
  <c r="D108" i="4"/>
  <c r="P110" i="4"/>
  <c r="P109" i="4"/>
  <c r="P108" i="4"/>
  <c r="P107" i="4"/>
  <c r="P105" i="4"/>
  <c r="P103" i="4"/>
  <c r="N110" i="4"/>
  <c r="N109" i="4"/>
  <c r="N108" i="4"/>
  <c r="N107" i="4"/>
  <c r="N105" i="4"/>
  <c r="N103" i="4"/>
  <c r="L110" i="4"/>
  <c r="L109" i="4"/>
  <c r="L108" i="4"/>
  <c r="L107" i="4"/>
  <c r="L105" i="4"/>
  <c r="L103" i="4"/>
  <c r="J110" i="4"/>
  <c r="J109" i="4"/>
  <c r="J108" i="4"/>
  <c r="J107" i="4"/>
  <c r="J105" i="4"/>
  <c r="J103" i="4"/>
  <c r="H110" i="4"/>
  <c r="H109" i="4"/>
  <c r="H108" i="4"/>
  <c r="H107" i="4"/>
  <c r="H105" i="4"/>
  <c r="H103" i="4"/>
  <c r="F110" i="4"/>
  <c r="F109" i="4"/>
  <c r="F108" i="4"/>
  <c r="F107" i="4"/>
  <c r="F105" i="4"/>
  <c r="F104" i="4"/>
  <c r="F103" i="4"/>
  <c r="D106" i="4"/>
  <c r="D104" i="4"/>
  <c r="D107" i="4"/>
  <c r="D105" i="4"/>
  <c r="D103" i="4"/>
  <c r="R3" i="4"/>
  <c r="P3" i="4"/>
  <c r="N3" i="4"/>
  <c r="L3" i="4"/>
  <c r="J3" i="4"/>
  <c r="H3" i="4"/>
  <c r="F3" i="4"/>
  <c r="A13" i="4"/>
  <c r="A12" i="4"/>
  <c r="A11" i="4"/>
  <c r="A10" i="4"/>
  <c r="A9" i="4"/>
  <c r="A8" i="4"/>
  <c r="A7" i="4"/>
  <c r="A6" i="4"/>
  <c r="A5" i="4"/>
  <c r="A4" i="4"/>
  <c r="A24" i="4"/>
  <c r="A23" i="4"/>
  <c r="A22" i="4"/>
  <c r="A21" i="4"/>
  <c r="A20" i="4"/>
  <c r="A19" i="4"/>
  <c r="A18" i="4"/>
  <c r="A17" i="4"/>
  <c r="A16" i="4"/>
  <c r="A15" i="4"/>
  <c r="A35" i="4"/>
  <c r="A34" i="4"/>
  <c r="A33" i="4"/>
  <c r="A32" i="4"/>
  <c r="A31" i="4"/>
  <c r="A30" i="4"/>
  <c r="A29" i="4"/>
  <c r="A28" i="4"/>
  <c r="A27" i="4"/>
  <c r="A26" i="4"/>
  <c r="A46" i="4"/>
  <c r="A45" i="4"/>
  <c r="A44" i="4"/>
  <c r="A43" i="4"/>
  <c r="A42" i="4"/>
  <c r="A41" i="4"/>
  <c r="A40" i="4"/>
  <c r="A39" i="4"/>
  <c r="A38" i="4"/>
  <c r="A37" i="4"/>
  <c r="A57" i="4"/>
  <c r="A56" i="4"/>
  <c r="A55" i="4"/>
  <c r="A54" i="4"/>
  <c r="A53" i="4"/>
  <c r="A52" i="4"/>
  <c r="A51" i="4"/>
  <c r="A50" i="4"/>
  <c r="A49" i="4"/>
  <c r="A48" i="4"/>
  <c r="A68" i="4"/>
  <c r="A67" i="4"/>
  <c r="A66" i="4"/>
  <c r="A65" i="4"/>
  <c r="A64" i="4"/>
  <c r="A63" i="4"/>
  <c r="A62" i="4"/>
  <c r="A61" i="4"/>
  <c r="A60" i="4"/>
  <c r="A59" i="4"/>
  <c r="A79" i="4"/>
  <c r="A78" i="4"/>
  <c r="A77" i="4"/>
  <c r="A76" i="4"/>
  <c r="A75" i="4"/>
  <c r="A74" i="4"/>
  <c r="A73" i="4"/>
  <c r="A72" i="4"/>
  <c r="A71" i="4"/>
  <c r="A70" i="4"/>
  <c r="D83" i="4"/>
  <c r="C83" i="4"/>
  <c r="C82" i="4"/>
  <c r="B84" i="4"/>
  <c r="C84" i="4" s="1"/>
  <c r="F14" i="4"/>
  <c r="H14" i="4"/>
  <c r="J14" i="4"/>
  <c r="L14" i="4"/>
  <c r="N14" i="4"/>
  <c r="P14" i="4"/>
  <c r="R14" i="4"/>
  <c r="H25" i="4"/>
  <c r="J25" i="4"/>
  <c r="L25" i="4"/>
  <c r="N25" i="4"/>
  <c r="P25" i="4"/>
  <c r="R25" i="4"/>
  <c r="H36" i="4"/>
  <c r="J36" i="4"/>
  <c r="L36" i="4"/>
  <c r="N36" i="4"/>
  <c r="P36" i="4"/>
  <c r="R36" i="4"/>
  <c r="H47" i="4"/>
  <c r="J47" i="4"/>
  <c r="L47" i="4"/>
  <c r="N47" i="4"/>
  <c r="P47" i="4"/>
  <c r="R47" i="4"/>
  <c r="H58" i="4"/>
  <c r="J58" i="4"/>
  <c r="L58" i="4"/>
  <c r="N58" i="4"/>
  <c r="P58" i="4"/>
  <c r="R58" i="4"/>
  <c r="H69" i="4"/>
  <c r="J69" i="4"/>
  <c r="L69" i="4"/>
  <c r="N69" i="4"/>
  <c r="P69" i="4"/>
  <c r="R69" i="4"/>
  <c r="F25" i="4"/>
  <c r="F36" i="4"/>
  <c r="F47" i="4"/>
  <c r="F58" i="4"/>
  <c r="F69" i="4"/>
  <c r="D84" i="4" l="1"/>
  <c r="D85" i="4" s="1"/>
  <c r="C91" i="4" s="1"/>
  <c r="B85" i="4"/>
  <c r="C85" i="4" s="1"/>
  <c r="B51" i="4" l="1"/>
  <c r="O51" i="4" s="1"/>
  <c r="B73" i="4"/>
  <c r="O73" i="4" s="1"/>
  <c r="B18" i="4"/>
  <c r="B40" i="4"/>
  <c r="B7" i="4"/>
  <c r="B29" i="4"/>
  <c r="B62" i="4"/>
  <c r="O62" i="4" s="1"/>
  <c r="C93" i="4"/>
  <c r="C88" i="4"/>
  <c r="C89" i="4"/>
  <c r="C94" i="4"/>
  <c r="C95" i="4"/>
  <c r="C96" i="4"/>
  <c r="C97" i="4"/>
  <c r="C90" i="4"/>
  <c r="C92" i="4"/>
  <c r="P101" i="4" l="1"/>
  <c r="N101" i="4"/>
  <c r="L101" i="4"/>
  <c r="D101" i="4"/>
  <c r="J101" i="4"/>
  <c r="H101" i="4"/>
  <c r="F101" i="4"/>
  <c r="B19" i="4"/>
  <c r="B41" i="4"/>
  <c r="B30" i="4"/>
  <c r="B52" i="4"/>
  <c r="O52" i="4" s="1"/>
  <c r="B8" i="4"/>
  <c r="B63" i="4"/>
  <c r="O63" i="4" s="1"/>
  <c r="B74" i="4"/>
  <c r="O74" i="4" s="1"/>
  <c r="B75" i="4"/>
  <c r="O75" i="4" s="1"/>
  <c r="B42" i="4"/>
  <c r="B64" i="4"/>
  <c r="O64" i="4" s="1"/>
  <c r="B9" i="4"/>
  <c r="B53" i="4"/>
  <c r="O53" i="4" s="1"/>
  <c r="B31" i="4"/>
  <c r="B20" i="4"/>
  <c r="B11" i="4"/>
  <c r="B22" i="4"/>
  <c r="B33" i="4"/>
  <c r="B44" i="4"/>
  <c r="B55" i="4"/>
  <c r="O55" i="4" s="1"/>
  <c r="B66" i="4"/>
  <c r="O66" i="4" s="1"/>
  <c r="B77" i="4"/>
  <c r="O77" i="4" s="1"/>
  <c r="K40" i="4"/>
  <c r="O40" i="4"/>
  <c r="E40" i="4"/>
  <c r="M40" i="4"/>
  <c r="I40" i="4"/>
  <c r="G40" i="4"/>
  <c r="Q40" i="4"/>
  <c r="B10" i="4"/>
  <c r="B21" i="4"/>
  <c r="B32" i="4"/>
  <c r="B43" i="4"/>
  <c r="B54" i="4"/>
  <c r="O54" i="4" s="1"/>
  <c r="B65" i="4"/>
  <c r="O65" i="4" s="1"/>
  <c r="B76" i="4"/>
  <c r="O76" i="4" s="1"/>
  <c r="Q18" i="4"/>
  <c r="E18" i="4"/>
  <c r="O18" i="4"/>
  <c r="K18" i="4"/>
  <c r="M18" i="4"/>
  <c r="G18" i="4"/>
  <c r="I18" i="4"/>
  <c r="B6" i="4"/>
  <c r="B17" i="4"/>
  <c r="B28" i="4"/>
  <c r="B39" i="4"/>
  <c r="B50" i="4"/>
  <c r="O50" i="4" s="1"/>
  <c r="B61" i="4"/>
  <c r="O61" i="4" s="1"/>
  <c r="B72" i="4"/>
  <c r="O72" i="4" s="1"/>
  <c r="K62" i="4"/>
  <c r="E62" i="4"/>
  <c r="G62" i="4"/>
  <c r="Q62" i="4"/>
  <c r="I62" i="4"/>
  <c r="M62" i="4"/>
  <c r="B34" i="4"/>
  <c r="B56" i="4"/>
  <c r="O56" i="4" s="1"/>
  <c r="B78" i="4"/>
  <c r="O78" i="4" s="1"/>
  <c r="B12" i="4"/>
  <c r="B45" i="4"/>
  <c r="B23" i="4"/>
  <c r="B67" i="4"/>
  <c r="O67" i="4" s="1"/>
  <c r="E7" i="4"/>
  <c r="Q7" i="4"/>
  <c r="O7" i="4"/>
  <c r="M7" i="4"/>
  <c r="K7" i="4"/>
  <c r="I7" i="4"/>
  <c r="G7" i="4"/>
  <c r="B5" i="4"/>
  <c r="B16" i="4"/>
  <c r="B27" i="4"/>
  <c r="B38" i="4"/>
  <c r="B60" i="4"/>
  <c r="O60" i="4" s="1"/>
  <c r="B71" i="4"/>
  <c r="O71" i="4" s="1"/>
  <c r="B49" i="4"/>
  <c r="O49" i="4" s="1"/>
  <c r="K73" i="4"/>
  <c r="E73" i="4"/>
  <c r="Q73" i="4"/>
  <c r="G73" i="4"/>
  <c r="I73" i="4"/>
  <c r="M73" i="4"/>
  <c r="B57" i="4"/>
  <c r="O57" i="4" s="1"/>
  <c r="B24" i="4"/>
  <c r="B68" i="4"/>
  <c r="O68" i="4" s="1"/>
  <c r="B35" i="4"/>
  <c r="B13" i="4"/>
  <c r="B46" i="4"/>
  <c r="B79" i="4"/>
  <c r="O79" i="4" s="1"/>
  <c r="O29" i="4"/>
  <c r="M29" i="4"/>
  <c r="Q29" i="4"/>
  <c r="E29" i="4"/>
  <c r="G29" i="4"/>
  <c r="K29" i="4"/>
  <c r="I29" i="4"/>
  <c r="B4" i="4"/>
  <c r="B70" i="4"/>
  <c r="O70" i="4" s="1"/>
  <c r="B26" i="4"/>
  <c r="B59" i="4"/>
  <c r="O59" i="4" s="1"/>
  <c r="B48" i="4"/>
  <c r="O48" i="4" s="1"/>
  <c r="B15" i="4"/>
  <c r="B37" i="4"/>
  <c r="K51" i="4"/>
  <c r="E51" i="4"/>
  <c r="M51" i="4"/>
  <c r="I51" i="4"/>
  <c r="G51" i="4"/>
  <c r="Q51" i="4"/>
  <c r="F91" i="4" l="1"/>
  <c r="G91" i="4" s="1"/>
  <c r="O58" i="4"/>
  <c r="O69" i="4"/>
  <c r="K75" i="4"/>
  <c r="M75" i="4"/>
  <c r="G75" i="4"/>
  <c r="E75" i="4"/>
  <c r="Q75" i="4"/>
  <c r="I75" i="4"/>
  <c r="Q12" i="4"/>
  <c r="E12" i="4"/>
  <c r="O12" i="4"/>
  <c r="M12" i="4"/>
  <c r="K12" i="4"/>
  <c r="I12" i="4"/>
  <c r="G12" i="4"/>
  <c r="Q66" i="4"/>
  <c r="K66" i="4"/>
  <c r="M66" i="4"/>
  <c r="E66" i="4"/>
  <c r="G66" i="4"/>
  <c r="I66" i="4"/>
  <c r="E4" i="4"/>
  <c r="M4" i="4"/>
  <c r="K4" i="4"/>
  <c r="Q4" i="4"/>
  <c r="I4" i="4"/>
  <c r="O4" i="4"/>
  <c r="G4" i="4"/>
  <c r="Q55" i="4"/>
  <c r="M55" i="4"/>
  <c r="I55" i="4"/>
  <c r="G55" i="4"/>
  <c r="K55" i="4"/>
  <c r="E55" i="4"/>
  <c r="O21" i="4"/>
  <c r="M21" i="4"/>
  <c r="K21" i="4"/>
  <c r="I21" i="4"/>
  <c r="G21" i="4"/>
  <c r="Q21" i="4"/>
  <c r="E21" i="4"/>
  <c r="K64" i="4"/>
  <c r="I64" i="4"/>
  <c r="G64" i="4"/>
  <c r="E64" i="4"/>
  <c r="M64" i="4"/>
  <c r="Q64" i="4"/>
  <c r="O13" i="4"/>
  <c r="M13" i="4"/>
  <c r="K13" i="4"/>
  <c r="I13" i="4"/>
  <c r="G13" i="4"/>
  <c r="Q13" i="4"/>
  <c r="E13" i="4"/>
  <c r="L91" i="4"/>
  <c r="M91" i="4" s="1"/>
  <c r="Q33" i="4"/>
  <c r="E33" i="4"/>
  <c r="K33" i="4"/>
  <c r="I33" i="4"/>
  <c r="G33" i="4"/>
  <c r="O33" i="4"/>
  <c r="M33" i="4"/>
  <c r="P91" i="4"/>
  <c r="Q91" i="4" s="1"/>
  <c r="O28" i="4"/>
  <c r="M28" i="4"/>
  <c r="Q28" i="4"/>
  <c r="E28" i="4"/>
  <c r="G28" i="4"/>
  <c r="K28" i="4"/>
  <c r="I28" i="4"/>
  <c r="Q11" i="4"/>
  <c r="E11" i="4"/>
  <c r="O11" i="4"/>
  <c r="M11" i="4"/>
  <c r="K11" i="4"/>
  <c r="I11" i="4"/>
  <c r="G11" i="4"/>
  <c r="O15" i="4"/>
  <c r="M15" i="4"/>
  <c r="K15" i="4"/>
  <c r="I15" i="4"/>
  <c r="G15" i="4"/>
  <c r="Q15" i="4"/>
  <c r="E15" i="4"/>
  <c r="O20" i="4"/>
  <c r="M20" i="4"/>
  <c r="K20" i="4"/>
  <c r="I20" i="4"/>
  <c r="G20" i="4"/>
  <c r="E20" i="4"/>
  <c r="Q20" i="4"/>
  <c r="E48" i="4"/>
  <c r="Q48" i="4"/>
  <c r="K48" i="4"/>
  <c r="I48" i="4"/>
  <c r="M48" i="4"/>
  <c r="G48" i="4"/>
  <c r="K27" i="4"/>
  <c r="I27" i="4"/>
  <c r="G27" i="4"/>
  <c r="Q27" i="4"/>
  <c r="E27" i="4"/>
  <c r="O27" i="4"/>
  <c r="M27" i="4"/>
  <c r="Q67" i="4"/>
  <c r="M67" i="4"/>
  <c r="I67" i="4"/>
  <c r="K67" i="4"/>
  <c r="G67" i="4"/>
  <c r="E67" i="4"/>
  <c r="E6" i="4"/>
  <c r="K6" i="4"/>
  <c r="Q6" i="4"/>
  <c r="O6" i="4"/>
  <c r="G6" i="4"/>
  <c r="I6" i="4"/>
  <c r="M6" i="4"/>
  <c r="K54" i="4"/>
  <c r="E54" i="4"/>
  <c r="I54" i="4"/>
  <c r="G54" i="4"/>
  <c r="Q54" i="4"/>
  <c r="M54" i="4"/>
  <c r="K31" i="4"/>
  <c r="I31" i="4"/>
  <c r="G31" i="4"/>
  <c r="E31" i="4"/>
  <c r="M31" i="4"/>
  <c r="Q31" i="4"/>
  <c r="O31" i="4"/>
  <c r="O30" i="4"/>
  <c r="M30" i="4"/>
  <c r="Q30" i="4"/>
  <c r="K30" i="4"/>
  <c r="I30" i="4"/>
  <c r="E30" i="4"/>
  <c r="G30" i="4"/>
  <c r="E70" i="4"/>
  <c r="Q70" i="4"/>
  <c r="G70" i="4"/>
  <c r="M70" i="4"/>
  <c r="I70" i="4"/>
  <c r="K70" i="4"/>
  <c r="Q46" i="4"/>
  <c r="K46" i="4"/>
  <c r="E46" i="4"/>
  <c r="O46" i="4"/>
  <c r="M46" i="4"/>
  <c r="I46" i="4"/>
  <c r="G46" i="4"/>
  <c r="H91" i="4"/>
  <c r="I91" i="4" s="1"/>
  <c r="Q78" i="4"/>
  <c r="K78" i="4"/>
  <c r="M78" i="4"/>
  <c r="G78" i="4"/>
  <c r="I78" i="4"/>
  <c r="E78" i="4"/>
  <c r="E72" i="4"/>
  <c r="Q72" i="4"/>
  <c r="G72" i="4"/>
  <c r="K72" i="4"/>
  <c r="I72" i="4"/>
  <c r="M72" i="4"/>
  <c r="Q10" i="4"/>
  <c r="O10" i="4"/>
  <c r="M10" i="4"/>
  <c r="K10" i="4"/>
  <c r="I10" i="4"/>
  <c r="G10" i="4"/>
  <c r="E10" i="4"/>
  <c r="K42" i="4"/>
  <c r="O42" i="4"/>
  <c r="E42" i="4"/>
  <c r="M42" i="4"/>
  <c r="I42" i="4"/>
  <c r="G42" i="4"/>
  <c r="Q42" i="4"/>
  <c r="Q35" i="4"/>
  <c r="E35" i="4"/>
  <c r="I35" i="4"/>
  <c r="G35" i="4"/>
  <c r="K35" i="4"/>
  <c r="M35" i="4"/>
  <c r="O35" i="4"/>
  <c r="N91" i="4"/>
  <c r="O91" i="4" s="1"/>
  <c r="E39" i="4"/>
  <c r="Q39" i="4"/>
  <c r="M39" i="4"/>
  <c r="O39" i="4"/>
  <c r="I39" i="4"/>
  <c r="K39" i="4"/>
  <c r="G39" i="4"/>
  <c r="Q22" i="4"/>
  <c r="E22" i="4"/>
  <c r="O22" i="4"/>
  <c r="M22" i="4"/>
  <c r="K22" i="4"/>
  <c r="I22" i="4"/>
  <c r="G22" i="4"/>
  <c r="G63" i="4"/>
  <c r="E63" i="4"/>
  <c r="M63" i="4"/>
  <c r="I63" i="4"/>
  <c r="Q63" i="4"/>
  <c r="K63" i="4"/>
  <c r="E37" i="4"/>
  <c r="Q37" i="4"/>
  <c r="O37" i="4"/>
  <c r="M37" i="4"/>
  <c r="I37" i="4"/>
  <c r="K37" i="4"/>
  <c r="G37" i="4"/>
  <c r="Q57" i="4"/>
  <c r="K57" i="4"/>
  <c r="E57" i="4"/>
  <c r="I57" i="4"/>
  <c r="M57" i="4"/>
  <c r="G57" i="4"/>
  <c r="E60" i="4"/>
  <c r="M60" i="4"/>
  <c r="Q60" i="4"/>
  <c r="I60" i="4"/>
  <c r="K60" i="4"/>
  <c r="G60" i="4"/>
  <c r="K76" i="4"/>
  <c r="E76" i="4"/>
  <c r="Q76" i="4"/>
  <c r="G76" i="4"/>
  <c r="I76" i="4"/>
  <c r="M76" i="4"/>
  <c r="Q8" i="4"/>
  <c r="O8" i="4"/>
  <c r="M8" i="4"/>
  <c r="K8" i="4"/>
  <c r="I8" i="4"/>
  <c r="G8" i="4"/>
  <c r="E8" i="4"/>
  <c r="E38" i="4"/>
  <c r="I38" i="4"/>
  <c r="G38" i="4"/>
  <c r="Q38" i="4"/>
  <c r="O38" i="4"/>
  <c r="M38" i="4"/>
  <c r="K38" i="4"/>
  <c r="Q16" i="4"/>
  <c r="Q14" i="4" s="1"/>
  <c r="E16" i="4"/>
  <c r="E14" i="4" s="1"/>
  <c r="I16" i="4"/>
  <c r="O16" i="4"/>
  <c r="G16" i="4"/>
  <c r="M16" i="4"/>
  <c r="K16" i="4"/>
  <c r="Q23" i="4"/>
  <c r="E23" i="4"/>
  <c r="O23" i="4"/>
  <c r="M23" i="4"/>
  <c r="K23" i="4"/>
  <c r="I23" i="4"/>
  <c r="G23" i="4"/>
  <c r="I43" i="4"/>
  <c r="G43" i="4"/>
  <c r="K43" i="4"/>
  <c r="E43" i="4"/>
  <c r="Q43" i="4"/>
  <c r="O43" i="4"/>
  <c r="M43" i="4"/>
  <c r="K53" i="4"/>
  <c r="M53" i="4"/>
  <c r="I53" i="4"/>
  <c r="G53" i="4"/>
  <c r="E53" i="4"/>
  <c r="Q53" i="4"/>
  <c r="E41" i="4"/>
  <c r="K41" i="4"/>
  <c r="O41" i="4"/>
  <c r="Q41" i="4"/>
  <c r="M41" i="4"/>
  <c r="G41" i="4"/>
  <c r="I41" i="4"/>
  <c r="J91" i="4"/>
  <c r="K91" i="4" s="1"/>
  <c r="Q56" i="4"/>
  <c r="K56" i="4"/>
  <c r="I56" i="4"/>
  <c r="E56" i="4"/>
  <c r="G56" i="4"/>
  <c r="M56" i="4"/>
  <c r="E61" i="4"/>
  <c r="Q61" i="4"/>
  <c r="G61" i="4"/>
  <c r="K61" i="4"/>
  <c r="M61" i="4"/>
  <c r="I61" i="4"/>
  <c r="Q44" i="4"/>
  <c r="K44" i="4"/>
  <c r="E44" i="4"/>
  <c r="M44" i="4"/>
  <c r="I44" i="4"/>
  <c r="G44" i="4"/>
  <c r="O44" i="4"/>
  <c r="Q68" i="4"/>
  <c r="K68" i="4"/>
  <c r="E68" i="4"/>
  <c r="G68" i="4"/>
  <c r="M68" i="4"/>
  <c r="I68" i="4"/>
  <c r="E49" i="4"/>
  <c r="Q49" i="4"/>
  <c r="K49" i="4"/>
  <c r="M49" i="4"/>
  <c r="I49" i="4"/>
  <c r="G49" i="4"/>
  <c r="Q34" i="4"/>
  <c r="E34" i="4"/>
  <c r="I34" i="4"/>
  <c r="G34" i="4"/>
  <c r="K34" i="4"/>
  <c r="M34" i="4"/>
  <c r="O34" i="4"/>
  <c r="E50" i="4"/>
  <c r="Q50" i="4"/>
  <c r="M50" i="4"/>
  <c r="I50" i="4"/>
  <c r="G50" i="4"/>
  <c r="K50" i="4"/>
  <c r="E74" i="4"/>
  <c r="Q74" i="4"/>
  <c r="K74" i="4"/>
  <c r="G74" i="4"/>
  <c r="M74" i="4"/>
  <c r="I74" i="4"/>
  <c r="O24" i="4"/>
  <c r="M24" i="4"/>
  <c r="K24" i="4"/>
  <c r="I24" i="4"/>
  <c r="Q24" i="4"/>
  <c r="E24" i="4"/>
  <c r="G24" i="4"/>
  <c r="E71" i="4"/>
  <c r="Q71" i="4"/>
  <c r="K71" i="4"/>
  <c r="I71" i="4"/>
  <c r="M71" i="4"/>
  <c r="G71" i="4"/>
  <c r="D91" i="4"/>
  <c r="E91" i="4" s="1"/>
  <c r="Q17" i="4"/>
  <c r="E17" i="4"/>
  <c r="I17" i="4"/>
  <c r="O17" i="4"/>
  <c r="M17" i="4"/>
  <c r="K17" i="4"/>
  <c r="G17" i="4"/>
  <c r="K65" i="4"/>
  <c r="E65" i="4"/>
  <c r="M65" i="4"/>
  <c r="I65" i="4"/>
  <c r="G65" i="4"/>
  <c r="Q65" i="4"/>
  <c r="M52" i="4"/>
  <c r="I52" i="4"/>
  <c r="G52" i="4"/>
  <c r="E52" i="4"/>
  <c r="Q52" i="4"/>
  <c r="K52" i="4"/>
  <c r="E59" i="4"/>
  <c r="Q59" i="4"/>
  <c r="M59" i="4"/>
  <c r="I59" i="4"/>
  <c r="G59" i="4"/>
  <c r="K59" i="4"/>
  <c r="Q26" i="4"/>
  <c r="E26" i="4"/>
  <c r="O26" i="4"/>
  <c r="M26" i="4"/>
  <c r="G26" i="4"/>
  <c r="K26" i="4"/>
  <c r="I26" i="4"/>
  <c r="Q79" i="4"/>
  <c r="I79" i="4"/>
  <c r="K79" i="4"/>
  <c r="E79" i="4"/>
  <c r="G79" i="4"/>
  <c r="M79" i="4"/>
  <c r="E5" i="4"/>
  <c r="K5" i="4"/>
  <c r="I5" i="4"/>
  <c r="G5" i="4"/>
  <c r="Q5" i="4"/>
  <c r="O5" i="4"/>
  <c r="M5" i="4"/>
  <c r="Q45" i="4"/>
  <c r="O45" i="4"/>
  <c r="M45" i="4"/>
  <c r="I45" i="4"/>
  <c r="K45" i="4"/>
  <c r="G45" i="4"/>
  <c r="E45" i="4"/>
  <c r="O32" i="4"/>
  <c r="M32" i="4"/>
  <c r="K32" i="4"/>
  <c r="I32" i="4"/>
  <c r="G32" i="4"/>
  <c r="Q32" i="4"/>
  <c r="E32" i="4"/>
  <c r="Q77" i="4"/>
  <c r="I77" i="4"/>
  <c r="K77" i="4"/>
  <c r="M77" i="4"/>
  <c r="G77" i="4"/>
  <c r="E77" i="4"/>
  <c r="Q9" i="4"/>
  <c r="O9" i="4"/>
  <c r="M9" i="4"/>
  <c r="K9" i="4"/>
  <c r="I9" i="4"/>
  <c r="G9" i="4"/>
  <c r="E9" i="4"/>
  <c r="O19" i="4"/>
  <c r="M19" i="4"/>
  <c r="K19" i="4"/>
  <c r="I19" i="4"/>
  <c r="G19" i="4"/>
  <c r="Q19" i="4"/>
  <c r="E19" i="4"/>
  <c r="Q47" i="4" l="1"/>
  <c r="N90" i="4"/>
  <c r="O90" i="4" s="1"/>
  <c r="I36" i="4"/>
  <c r="F93" i="4"/>
  <c r="G93" i="4" s="1"/>
  <c r="F94" i="4"/>
  <c r="G94" i="4" s="1"/>
  <c r="D92" i="4"/>
  <c r="E92" i="4" s="1"/>
  <c r="I25" i="4"/>
  <c r="F88" i="4"/>
  <c r="I58" i="4"/>
  <c r="F95" i="4"/>
  <c r="G95" i="4" s="1"/>
  <c r="E58" i="4"/>
  <c r="I14" i="4"/>
  <c r="F90" i="4"/>
  <c r="G90" i="4" s="1"/>
  <c r="H93" i="4"/>
  <c r="I93" i="4" s="1"/>
  <c r="O36" i="4"/>
  <c r="K69" i="4"/>
  <c r="H89" i="4"/>
  <c r="I89" i="4" s="1"/>
  <c r="M36" i="4"/>
  <c r="O47" i="4"/>
  <c r="P96" i="4"/>
  <c r="Q96" i="4" s="1"/>
  <c r="K25" i="4"/>
  <c r="L93" i="4"/>
  <c r="M93" i="4" s="1"/>
  <c r="L89" i="4"/>
  <c r="M89" i="4" s="1"/>
  <c r="Q25" i="4"/>
  <c r="P94" i="4"/>
  <c r="Q94" i="4" s="1"/>
  <c r="D93" i="4"/>
  <c r="E93" i="4" s="1"/>
  <c r="P89" i="4"/>
  <c r="Q89" i="4" s="1"/>
  <c r="G58" i="4"/>
  <c r="K36" i="4"/>
  <c r="H90" i="4"/>
  <c r="I90" i="4" s="1"/>
  <c r="G47" i="4"/>
  <c r="N97" i="4"/>
  <c r="O97" i="4" s="1"/>
  <c r="N96" i="4"/>
  <c r="O96" i="4" s="1"/>
  <c r="M58" i="4"/>
  <c r="J89" i="4"/>
  <c r="K89" i="4" s="1"/>
  <c r="Q36" i="4"/>
  <c r="G69" i="4"/>
  <c r="J90" i="4"/>
  <c r="K90" i="4" s="1"/>
  <c r="K47" i="4"/>
  <c r="L95" i="4"/>
  <c r="M95" i="4" s="1"/>
  <c r="D97" i="4"/>
  <c r="E97" i="4" s="1"/>
  <c r="H88" i="4"/>
  <c r="D96" i="4"/>
  <c r="E96" i="4" s="1"/>
  <c r="F92" i="4"/>
  <c r="G92" i="4" s="1"/>
  <c r="J93" i="4"/>
  <c r="K93" i="4" s="1"/>
  <c r="P90" i="4"/>
  <c r="Q90" i="4" s="1"/>
  <c r="O3" i="4"/>
  <c r="N88" i="4"/>
  <c r="J92" i="4"/>
  <c r="K92" i="4" s="1"/>
  <c r="M25" i="4"/>
  <c r="E47" i="4"/>
  <c r="E36" i="4"/>
  <c r="L92" i="4"/>
  <c r="M92" i="4" s="1"/>
  <c r="J94" i="4"/>
  <c r="K94" i="4" s="1"/>
  <c r="D90" i="4"/>
  <c r="E90" i="4" s="1"/>
  <c r="N95" i="4"/>
  <c r="O95" i="4" s="1"/>
  <c r="P97" i="4"/>
  <c r="Q97" i="4" s="1"/>
  <c r="Q3" i="4"/>
  <c r="P88" i="4"/>
  <c r="G3" i="4"/>
  <c r="F89" i="4"/>
  <c r="G89" i="4" s="1"/>
  <c r="I69" i="4"/>
  <c r="H95" i="4"/>
  <c r="I95" i="4" s="1"/>
  <c r="I3" i="4"/>
  <c r="H92" i="4"/>
  <c r="I92" i="4" s="1"/>
  <c r="J95" i="4"/>
  <c r="K95" i="4" s="1"/>
  <c r="D89" i="4"/>
  <c r="E89" i="4" s="1"/>
  <c r="H94" i="4"/>
  <c r="I94" i="4" s="1"/>
  <c r="O25" i="4"/>
  <c r="K58" i="4"/>
  <c r="D95" i="4"/>
  <c r="E95" i="4" s="1"/>
  <c r="F96" i="4"/>
  <c r="G96" i="4" s="1"/>
  <c r="M47" i="4"/>
  <c r="D94" i="4"/>
  <c r="E94" i="4" s="1"/>
  <c r="I47" i="4"/>
  <c r="Q58" i="4"/>
  <c r="N93" i="4"/>
  <c r="O93" i="4" s="1"/>
  <c r="N92" i="4"/>
  <c r="O92" i="4" s="1"/>
  <c r="L94" i="4"/>
  <c r="M94" i="4" s="1"/>
  <c r="G14" i="4"/>
  <c r="F97" i="4"/>
  <c r="G97" i="4" s="1"/>
  <c r="K3" i="4"/>
  <c r="J88" i="4"/>
  <c r="E25" i="4"/>
  <c r="P92" i="4"/>
  <c r="Q92" i="4" s="1"/>
  <c r="N94" i="4"/>
  <c r="O94" i="4" s="1"/>
  <c r="E69" i="4"/>
  <c r="P95" i="4"/>
  <c r="Q95" i="4" s="1"/>
  <c r="H97" i="4"/>
  <c r="I97" i="4" s="1"/>
  <c r="M3" i="4"/>
  <c r="L88" i="4"/>
  <c r="H96" i="4"/>
  <c r="I96" i="4" s="1"/>
  <c r="M69" i="4"/>
  <c r="G25" i="4"/>
  <c r="P93" i="4"/>
  <c r="Q93" i="4" s="1"/>
  <c r="Q69" i="4"/>
  <c r="K14" i="4"/>
  <c r="J97" i="4"/>
  <c r="K97" i="4" s="1"/>
  <c r="D88" i="4"/>
  <c r="E3" i="4"/>
  <c r="J96" i="4"/>
  <c r="K96" i="4" s="1"/>
  <c r="O14" i="4"/>
  <c r="N89" i="4"/>
  <c r="O89" i="4" s="1"/>
  <c r="G36" i="4"/>
  <c r="L90" i="4"/>
  <c r="M90" i="4" s="1"/>
  <c r="M14" i="4"/>
  <c r="L97" i="4"/>
  <c r="M97" i="4" s="1"/>
  <c r="L96" i="4"/>
  <c r="M96" i="4" s="1"/>
  <c r="E88" i="4" l="1"/>
  <c r="D100" i="4"/>
  <c r="Q88" i="4"/>
  <c r="P100" i="4"/>
  <c r="G88" i="4"/>
  <c r="F100" i="4"/>
  <c r="O88" i="4"/>
  <c r="N100" i="4"/>
  <c r="K88" i="4"/>
  <c r="J100" i="4"/>
  <c r="I88" i="4"/>
  <c r="H100" i="4"/>
  <c r="M88" i="4"/>
  <c r="L100" i="4"/>
</calcChain>
</file>

<file path=xl/sharedStrings.xml><?xml version="1.0" encoding="utf-8"?>
<sst xmlns="http://schemas.openxmlformats.org/spreadsheetml/2006/main" count="153" uniqueCount="88">
  <si>
    <t>Name</t>
  </si>
  <si>
    <t>Role</t>
  </si>
  <si>
    <t>Discipline</t>
  </si>
  <si>
    <t>Working Hours (FT-20%)</t>
  </si>
  <si>
    <t>Contract Type</t>
  </si>
  <si>
    <t>Supervisor</t>
  </si>
  <si>
    <t>Project</t>
  </si>
  <si>
    <t>Project Manager</t>
  </si>
  <si>
    <t>Onur Kavakli</t>
  </si>
  <si>
    <t>Principal Engineer</t>
  </si>
  <si>
    <t>Process / Technical</t>
  </si>
  <si>
    <t>Employee</t>
  </si>
  <si>
    <t>Jim Latto</t>
  </si>
  <si>
    <t>P250001 ADOC</t>
  </si>
  <si>
    <t>Tim</t>
  </si>
  <si>
    <t>Maria Alonzo</t>
  </si>
  <si>
    <t>PM</t>
  </si>
  <si>
    <t>P230195 OXY Oman</t>
  </si>
  <si>
    <t>Dion</t>
  </si>
  <si>
    <t>Jacobo Ramirez</t>
  </si>
  <si>
    <t>Project Manager (In-Country)</t>
  </si>
  <si>
    <t>P230073 Almansoori</t>
  </si>
  <si>
    <t>Boris Welzen</t>
  </si>
  <si>
    <t>Procurement Manager (Freelance)</t>
  </si>
  <si>
    <t>Procurement</t>
  </si>
  <si>
    <t xml:space="preserve">P260002 Spare parts Zeeland </t>
  </si>
  <si>
    <t>Rutger Reij</t>
  </si>
  <si>
    <t>Mechanical Engineer</t>
  </si>
  <si>
    <t>Mechanical</t>
  </si>
  <si>
    <t>P26001 TAQA</t>
  </si>
  <si>
    <t>Anwar Hassan</t>
  </si>
  <si>
    <t>SARAT</t>
  </si>
  <si>
    <t>Neville Cory</t>
  </si>
  <si>
    <t>Process Engineer</t>
  </si>
  <si>
    <t>Process</t>
  </si>
  <si>
    <t>CANCUN</t>
  </si>
  <si>
    <t>Fatemeh Rashidashmagh</t>
  </si>
  <si>
    <t>William Garcia</t>
  </si>
  <si>
    <t>Ajitha Karuppiah</t>
  </si>
  <si>
    <t>Draughtsperson</t>
  </si>
  <si>
    <t>Drafting</t>
  </si>
  <si>
    <t>June</t>
  </si>
  <si>
    <t>July</t>
  </si>
  <si>
    <t>August</t>
  </si>
  <si>
    <t>September</t>
  </si>
  <si>
    <t>October</t>
  </si>
  <si>
    <t>November</t>
  </si>
  <si>
    <t>December</t>
  </si>
  <si>
    <t xml:space="preserve">   Maria Alonzo</t>
  </si>
  <si>
    <t xml:space="preserve">   Jacobo Ramirez</t>
  </si>
  <si>
    <t xml:space="preserve">   Rutger Reij</t>
  </si>
  <si>
    <t xml:space="preserve">   Fatemeh Rashidashmagh</t>
  </si>
  <si>
    <t xml:space="preserve">   William Garcia</t>
  </si>
  <si>
    <t xml:space="preserve">   Ajitha Karuppiah</t>
  </si>
  <si>
    <t xml:space="preserve">   Anwar Hassan</t>
  </si>
  <si>
    <t xml:space="preserve">   Neville Cory</t>
  </si>
  <si>
    <t xml:space="preserve">   Onur Kavakli</t>
  </si>
  <si>
    <t xml:space="preserve">   Boris Welzen</t>
  </si>
  <si>
    <t>P260002 Spare parts Zeeland</t>
  </si>
  <si>
    <t>P260001 TAQA</t>
  </si>
  <si>
    <t>P250002 Cancun CISEC</t>
  </si>
  <si>
    <t>QDG2600002 SARAT</t>
  </si>
  <si>
    <t>Remaining %</t>
  </si>
  <si>
    <t>Status</t>
  </si>
  <si>
    <t>Jun/26</t>
  </si>
  <si>
    <t>Jul/26</t>
  </si>
  <si>
    <t>Aug/26</t>
  </si>
  <si>
    <t>Sept/26</t>
  </si>
  <si>
    <t>Oct/26</t>
  </si>
  <si>
    <t>Nov/26</t>
  </si>
  <si>
    <t>Dec/26</t>
  </si>
  <si>
    <t>Confidence</t>
  </si>
  <si>
    <t>Notes / assumptions</t>
  </si>
  <si>
    <t>Available Hours</t>
  </si>
  <si>
    <t>Contracted hours: 40 h/week × 52 weeks</t>
  </si>
  <si>
    <t>Leave allowance: 25 days × 8 h</t>
  </si>
  <si>
    <t>Project/productive capacity</t>
  </si>
  <si>
    <t>Admin/management allowance: 15%</t>
  </si>
  <si>
    <t>5 days</t>
  </si>
  <si>
    <t>4 days</t>
  </si>
  <si>
    <t>Consumed</t>
  </si>
  <si>
    <t>Capacity</t>
  </si>
  <si>
    <t>LATAM PM</t>
  </si>
  <si>
    <t>Proc. Eng.</t>
  </si>
  <si>
    <t>Mech. Eng.</t>
  </si>
  <si>
    <t>Total</t>
  </si>
  <si>
    <t>Should we add Dion, Maarten and me as a recource as well?</t>
  </si>
  <si>
    <t>Because we do have LATAM PM's in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</si>
</sst>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 wrapText="1"/>
    </xf>
    <xf numFmtId="17" fontId="2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5" fillId="0" borderId="0" xfId="0" applyFont="1"/>
    <xf numFmtId="164" fontId="5" fillId="0" borderId="0" xfId="0" applyNumberFormat="1" applyFont="1"/>
    <xf numFmtId="2" fontId="5" fillId="0" borderId="1" xfId="0" applyNumberFormat="1" applyFont="1" applyBorder="1"/>
    <xf numFmtId="0" fontId="5" fillId="0" borderId="0" xfId="0" applyFont="1" applyAlignment="1">
      <alignment textRotation="90"/>
    </xf>
    <xf numFmtId="164" fontId="0" fillId="0" borderId="0" xfId="0" applyNumberFormat="1"/>
    <xf numFmtId="1" fontId="0" fillId="0" borderId="0" xfId="0" applyNumberFormat="1"/>
    <xf numFmtId="0" fontId="0" fillId="0" borderId="2" xfId="0" applyBorder="1"/>
    <xf numFmtId="1" fontId="0" fillId="0" borderId="0" xfId="0" applyNumberFormat="1" applyBorder="1" applyAlignment="1">
      <alignment horizontal="center"/>
    </xf>
    <xf numFmtId="0" fontId="0" fillId="0" borderId="8" xfId="0" applyBorder="1" applyAlignment="1"/>
    <xf numFmtId="0" fontId="0" fillId="0" borderId="9" xfId="0" applyBorder="1" applyAlignment="1"/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2" xfId="0" applyFont="1" applyFill="1" applyBorder="1"/>
    <xf numFmtId="0" fontId="6" fillId="2" borderId="12" xfId="0" applyFont="1" applyFill="1" applyBorder="1"/>
    <xf numFmtId="0" fontId="2" fillId="2" borderId="13" xfId="0" applyFont="1" applyFill="1" applyBorder="1"/>
    <xf numFmtId="0" fontId="2" fillId="2" borderId="16" xfId="0" applyFont="1" applyFill="1" applyBorder="1"/>
    <xf numFmtId="0" fontId="6" fillId="2" borderId="17" xfId="0" applyFont="1" applyFill="1" applyBorder="1"/>
    <xf numFmtId="0" fontId="2" fillId="2" borderId="17" xfId="0" applyFont="1" applyFill="1" applyBorder="1"/>
    <xf numFmtId="0" fontId="2" fillId="2" borderId="18" xfId="0" applyFont="1" applyFill="1" applyBorder="1"/>
    <xf numFmtId="0" fontId="0" fillId="0" borderId="4" xfId="0" applyBorder="1"/>
    <xf numFmtId="0" fontId="0" fillId="0" borderId="6" xfId="0" applyBorder="1"/>
    <xf numFmtId="2" fontId="5" fillId="0" borderId="20" xfId="0" applyNumberFormat="1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2" fontId="5" fillId="0" borderId="22" xfId="0" applyNumberFormat="1" applyFont="1" applyBorder="1"/>
    <xf numFmtId="0" fontId="0" fillId="0" borderId="8" xfId="0" applyBorder="1"/>
    <xf numFmtId="1" fontId="4" fillId="2" borderId="16" xfId="0" applyNumberFormat="1" applyFont="1" applyFill="1" applyBorder="1" applyAlignment="1">
      <alignment horizontal="center" vertical="center"/>
    </xf>
    <xf numFmtId="164" fontId="4" fillId="2" borderId="19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9" fontId="4" fillId="3" borderId="5" xfId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9" fontId="4" fillId="3" borderId="7" xfId="1" applyFont="1" applyFill="1" applyBorder="1" applyAlignment="1">
      <alignment horizontal="center" vertical="center"/>
    </xf>
    <xf numFmtId="1" fontId="4" fillId="2" borderId="14" xfId="0" applyNumberFormat="1" applyFont="1" applyFill="1" applyBorder="1" applyAlignment="1">
      <alignment horizontal="center" vertical="center"/>
    </xf>
    <xf numFmtId="164" fontId="4" fillId="2" borderId="15" xfId="1" applyNumberFormat="1" applyFont="1" applyFill="1" applyBorder="1" applyAlignment="1">
      <alignment horizontal="center" vertical="center"/>
    </xf>
    <xf numFmtId="1" fontId="4" fillId="0" borderId="23" xfId="0" applyNumberFormat="1" applyFont="1" applyBorder="1" applyAlignment="1">
      <alignment horizontal="center" vertical="center"/>
    </xf>
    <xf numFmtId="9" fontId="4" fillId="3" borderId="24" xfId="1" applyFont="1" applyFill="1" applyBorder="1" applyAlignment="1">
      <alignment horizontal="center" vertical="center"/>
    </xf>
    <xf numFmtId="0" fontId="0" fillId="0" borderId="10" xfId="0" applyBorder="1"/>
    <xf numFmtId="0" fontId="4" fillId="0" borderId="25" xfId="0" applyFont="1" applyBorder="1"/>
    <xf numFmtId="9" fontId="4" fillId="0" borderId="26" xfId="1" applyFont="1" applyBorder="1"/>
    <xf numFmtId="0" fontId="4" fillId="0" borderId="27" xfId="0" applyFont="1" applyBorder="1"/>
    <xf numFmtId="9" fontId="4" fillId="0" borderId="28" xfId="1" applyFont="1" applyBorder="1"/>
    <xf numFmtId="1" fontId="4" fillId="0" borderId="25" xfId="0" applyNumberFormat="1" applyFont="1" applyBorder="1"/>
    <xf numFmtId="1" fontId="4" fillId="0" borderId="27" xfId="0" applyNumberFormat="1" applyFont="1" applyBorder="1"/>
    <xf numFmtId="0" fontId="0" fillId="0" borderId="3" xfId="0" applyBorder="1" applyAlignment="1">
      <alignment textRotation="90"/>
    </xf>
    <xf numFmtId="0" fontId="0" fillId="0" borderId="29" xfId="0" applyBorder="1" applyAlignment="1">
      <alignment textRotation="90"/>
    </xf>
    <xf numFmtId="164" fontId="5" fillId="3" borderId="30" xfId="0" applyNumberFormat="1" applyFont="1" applyFill="1" applyBorder="1"/>
    <xf numFmtId="164" fontId="5" fillId="3" borderId="31" xfId="0" applyNumberFormat="1" applyFont="1" applyFill="1" applyBorder="1"/>
    <xf numFmtId="164" fontId="5" fillId="3" borderId="32" xfId="0" applyNumberFormat="1" applyFont="1" applyFill="1" applyBorder="1"/>
    <xf numFmtId="0" fontId="5" fillId="0" borderId="33" xfId="0" applyFont="1" applyBorder="1"/>
    <xf numFmtId="0" fontId="5" fillId="0" borderId="11" xfId="0" applyFont="1" applyBorder="1"/>
    <xf numFmtId="0" fontId="5" fillId="0" borderId="25" xfId="0" applyFont="1" applyBorder="1"/>
    <xf numFmtId="2" fontId="5" fillId="0" borderId="0" xfId="0" applyNumberFormat="1" applyFont="1" applyBorder="1" applyAlignment="1">
      <alignment horizontal="center" vertical="center"/>
    </xf>
    <xf numFmtId="2" fontId="5" fillId="0" borderId="26" xfId="0" applyNumberFormat="1" applyFont="1" applyBorder="1" applyAlignment="1">
      <alignment horizontal="center" vertical="center"/>
    </xf>
    <xf numFmtId="0" fontId="5" fillId="0" borderId="27" xfId="0" applyFont="1" applyBorder="1"/>
    <xf numFmtId="2" fontId="5" fillId="0" borderId="34" xfId="0" applyNumberFormat="1" applyFont="1" applyBorder="1" applyAlignment="1">
      <alignment horizontal="center" vertical="center"/>
    </xf>
    <xf numFmtId="2" fontId="5" fillId="0" borderId="28" xfId="0" applyNumberFormat="1" applyFont="1" applyBorder="1" applyAlignment="1">
      <alignment horizontal="center" vertical="center"/>
    </xf>
    <xf numFmtId="0" fontId="5" fillId="0" borderId="0" xfId="0" applyFont="1" applyFill="1" applyBorder="1"/>
    <xf numFmtId="164" fontId="0" fillId="4" borderId="0" xfId="0" applyNumberFormat="1" applyFill="1"/>
  </cellXfs>
  <cellStyles count="2">
    <cellStyle name="Normal" xfId="0" builtinId="0"/>
    <cellStyle name="Per cent" xfId="1" builtinId="5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2" formatCode="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B1BBCC"/>
        </top>
        <bottom style="thin">
          <color rgb="FFB1BBCC"/>
        </bottom>
        <vertical/>
        <horizontal/>
      </border>
    </dxf>
    <dxf>
      <border outline="0">
        <top style="thin">
          <color rgb="FFB1BBCC"/>
        </top>
      </border>
    </dxf>
    <dxf>
      <border outline="0">
        <left style="thin">
          <color rgb="FFB1BBCC"/>
        </left>
        <right style="thin">
          <color rgb="FFB1BBCC"/>
        </right>
        <top style="thin">
          <color rgb="FFB1BBCC"/>
        </top>
        <bottom style="thin">
          <color rgb="FFB1BB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rgb="FFB1BBCC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Sheet3!$A$88</c:f>
              <c:strCache>
                <c:ptCount val="1"/>
                <c:pt idx="0">
                  <c:v>   Maria Alonzo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(Sheet3!$D$88,Sheet3!$F$88,Sheet3!$H$88,Sheet3!$J$88,Sheet3!$L$88,Sheet3!$N$88,Sheet3!$P$88)</c:f>
              <c:numCache>
                <c:formatCode>0</c:formatCode>
                <c:ptCount val="7"/>
                <c:pt idx="0" formatCode="General">
                  <c:v>79.899999999999991</c:v>
                </c:pt>
                <c:pt idx="1">
                  <c:v>79.899999999999991</c:v>
                </c:pt>
                <c:pt idx="2" formatCode="General">
                  <c:v>79.899999999999991</c:v>
                </c:pt>
                <c:pt idx="3" formatCode="General">
                  <c:v>79.899999999999991</c:v>
                </c:pt>
                <c:pt idx="4" formatCode="General">
                  <c:v>79.899999999999991</c:v>
                </c:pt>
                <c:pt idx="5" formatCode="General">
                  <c:v>79.899999999999991</c:v>
                </c:pt>
                <c:pt idx="6" formatCode="General">
                  <c:v>79.899999999999991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3-4294-9DD1-B6C9AC024440}"/>
            </c:ext>
          </c:extLst>
        </c:ser>
        <c:ser>
          <c:idx val="1"/>
          <c:order val="1"/>
          <c:tx>
            <c:strRef>
              <c:f>Sheet3!$A$89</c:f>
              <c:strCache>
                <c:ptCount val="1"/>
                <c:pt idx="0">
                  <c:v>   Jacobo Ramirez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(Sheet3!$D$89,Sheet3!$F$89,Sheet3!$H$89,Sheet3!$J$89,Sheet3!$L$89,Sheet3!$N$89,Sheet3!$P$89)</c:f>
              <c:numCache>
                <c:formatCode>0</c:formatCode>
                <c:ptCount val="7"/>
                <c:pt idx="0" formatCode="General">
                  <c:v>133.16666666666666</c:v>
                </c:pt>
                <c:pt idx="1">
                  <c:v>133.16666666666666</c:v>
                </c:pt>
                <c:pt idx="2" formatCode="General">
                  <c:v>133.16666666666666</c:v>
                </c:pt>
                <c:pt idx="3" formatCode="General">
                  <c:v>133.16666666666666</c:v>
                </c:pt>
                <c:pt idx="4" formatCode="General">
                  <c:v>133.16666666666666</c:v>
                </c:pt>
                <c:pt idx="5" formatCode="General">
                  <c:v>133.16666666666666</c:v>
                </c:pt>
                <c:pt idx="6" formatCode="General">
                  <c:v>133.16666666666666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53-4294-9DD1-B6C9AC024440}"/>
            </c:ext>
          </c:extLst>
        </c:ser>
        <c:ser>
          <c:idx val="2"/>
          <c:order val="2"/>
          <c:tx>
            <c:strRef>
              <c:f>Sheet3!$A$90</c:f>
              <c:strCache>
                <c:ptCount val="1"/>
                <c:pt idx="0">
                  <c:v>   Boris Welzen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(Sheet3!$D$90,Sheet3!$F$90,Sheet3!$H$90,Sheet3!$J$90,Sheet3!$L$90,Sheet3!$N$90,Sheet3!$P$90)</c:f>
              <c:numCache>
                <c:formatCode>0</c:formatCode>
                <c:ptCount val="7"/>
                <c:pt idx="0" formatCode="General">
                  <c:v>146.48333333333332</c:v>
                </c:pt>
                <c:pt idx="1">
                  <c:v>133.16666666666666</c:v>
                </c:pt>
                <c:pt idx="2" formatCode="General">
                  <c:v>133.16666666666666</c:v>
                </c:pt>
                <c:pt idx="3" formatCode="General">
                  <c:v>119.85</c:v>
                </c:pt>
                <c:pt idx="4" formatCode="General">
                  <c:v>93.216666666666669</c:v>
                </c:pt>
                <c:pt idx="5" formatCode="General">
                  <c:v>93.216666666666669</c:v>
                </c:pt>
                <c:pt idx="6" formatCode="General">
                  <c:v>93.216666666666669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53-4294-9DD1-B6C9AC024440}"/>
            </c:ext>
          </c:extLst>
        </c:ser>
        <c:ser>
          <c:idx val="3"/>
          <c:order val="3"/>
          <c:tx>
            <c:strRef>
              <c:f>Sheet3!$A$91</c:f>
              <c:strCache>
                <c:ptCount val="1"/>
                <c:pt idx="0">
                  <c:v>   Rutger Reij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(Sheet3!$D$91,Sheet3!$F$91,Sheet3!$H$91,Sheet3!$J$91,Sheet3!$L$91,Sheet3!$N$91,Sheet3!$P$91)</c:f>
              <c:numCache>
                <c:formatCode>0</c:formatCode>
                <c:ptCount val="7"/>
                <c:pt idx="0" formatCode="General">
                  <c:v>103.72833333333332</c:v>
                </c:pt>
                <c:pt idx="1">
                  <c:v>31.118499999999997</c:v>
                </c:pt>
                <c:pt idx="2" formatCode="General">
                  <c:v>62.236999999999995</c:v>
                </c:pt>
                <c:pt idx="3" formatCode="General">
                  <c:v>25.932083333333331</c:v>
                </c:pt>
                <c:pt idx="4" formatCode="General">
                  <c:v>20.745666666666665</c:v>
                </c:pt>
                <c:pt idx="5" formatCode="General">
                  <c:v>20.745666666666665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53-4294-9DD1-B6C9AC024440}"/>
            </c:ext>
          </c:extLst>
        </c:ser>
        <c:ser>
          <c:idx val="4"/>
          <c:order val="4"/>
          <c:tx>
            <c:strRef>
              <c:f>Sheet3!$A$92</c:f>
              <c:strCache>
                <c:ptCount val="1"/>
                <c:pt idx="0">
                  <c:v>   Fatemeh Rashidashmagh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(Sheet3!$D$92,Sheet3!$F$92,Sheet3!$H$92,Sheet3!$J$92,Sheet3!$L$92,Sheet3!$N$92,Sheet3!$P$92)</c:f>
              <c:numCache>
                <c:formatCode>0</c:formatCode>
                <c:ptCount val="7"/>
                <c:pt idx="0" formatCode="General">
                  <c:v>159.79999999999998</c:v>
                </c:pt>
                <c:pt idx="1">
                  <c:v>159.80000000000001</c:v>
                </c:pt>
                <c:pt idx="2" formatCode="General">
                  <c:v>159.80000000000001</c:v>
                </c:pt>
                <c:pt idx="3" formatCode="General">
                  <c:v>119.85</c:v>
                </c:pt>
                <c:pt idx="4" formatCode="General">
                  <c:v>53.266666666666666</c:v>
                </c:pt>
                <c:pt idx="5" formatCode="General">
                  <c:v>46.608333333333327</c:v>
                </c:pt>
                <c:pt idx="6" formatCode="General">
                  <c:v>59.924999999999997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53-4294-9DD1-B6C9AC024440}"/>
            </c:ext>
          </c:extLst>
        </c:ser>
        <c:ser>
          <c:idx val="5"/>
          <c:order val="5"/>
          <c:tx>
            <c:strRef>
              <c:f>Sheet3!$A$93</c:f>
              <c:strCache>
                <c:ptCount val="1"/>
                <c:pt idx="0">
                  <c:v>   William Garcia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(Sheet3!$D$93,Sheet3!$F$93,Sheet3!$H$93,Sheet3!$J$93,Sheet3!$L$93,Sheet3!$N$93,Sheet3!$P$93)</c:f>
              <c:numCache>
                <c:formatCode>0</c:formatCode>
                <c:ptCount val="7"/>
                <c:pt idx="0" formatCode="General">
                  <c:v>146.48333333333332</c:v>
                </c:pt>
                <c:pt idx="1">
                  <c:v>159.80000000000001</c:v>
                </c:pt>
                <c:pt idx="2" formatCode="General">
                  <c:v>159.80000000000001</c:v>
                </c:pt>
                <c:pt idx="3" formatCode="General">
                  <c:v>119.85</c:v>
                </c:pt>
                <c:pt idx="4" formatCode="General">
                  <c:v>53.266666666666666</c:v>
                </c:pt>
                <c:pt idx="5" formatCode="General">
                  <c:v>46.608333333333327</c:v>
                </c:pt>
                <c:pt idx="6" formatCode="General">
                  <c:v>59.924999999999997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53-4294-9DD1-B6C9AC024440}"/>
            </c:ext>
          </c:extLst>
        </c:ser>
        <c:ser>
          <c:idx val="6"/>
          <c:order val="6"/>
          <c:tx>
            <c:strRef>
              <c:f>Sheet3!$A$94</c:f>
              <c:strCache>
                <c:ptCount val="1"/>
                <c:pt idx="0">
                  <c:v>   Ajitha Karuppiah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(Sheet3!$D$94,Sheet3!$F$94,Sheet3!$H$94,Sheet3!$J$94,Sheet3!$L$94,Sheet3!$N$94,Sheet3!$P$94)</c:f>
              <c:numCache>
                <c:formatCode>0</c:formatCode>
                <c:ptCount val="7"/>
                <c:pt idx="0" formatCode="General">
                  <c:v>133.16666666666666</c:v>
                </c:pt>
                <c:pt idx="1">
                  <c:v>119.84999999999998</c:v>
                </c:pt>
                <c:pt idx="2" formatCode="General">
                  <c:v>59.924999999999997</c:v>
                </c:pt>
                <c:pt idx="3" formatCode="General">
                  <c:v>26.633333333333333</c:v>
                </c:pt>
                <c:pt idx="4" formatCode="General">
                  <c:v>13.316666666666666</c:v>
                </c:pt>
                <c:pt idx="5" formatCode="General">
                  <c:v>13.316666666666666</c:v>
                </c:pt>
                <c:pt idx="6" formatCode="General">
                  <c:v>13.316666666666666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53-4294-9DD1-B6C9AC024440}"/>
            </c:ext>
          </c:extLst>
        </c:ser>
        <c:ser>
          <c:idx val="7"/>
          <c:order val="7"/>
          <c:tx>
            <c:strRef>
              <c:f>Sheet3!$A$95</c:f>
              <c:strCache>
                <c:ptCount val="1"/>
                <c:pt idx="0">
                  <c:v>   Anwar Hassan</c:v>
                </c:pt>
              </c:strCache>
            </c:strRef>
          </c:tx>
          <c:spPr>
            <a:ln w="22225" cap="rnd" cmpd="sng" algn="ctr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(Sheet3!$D$95,Sheet3!$F$95,Sheet3!$H$95,Sheet3!$J$95,Sheet3!$L$95,Sheet3!$N$95,Sheet3!$P$95)</c:f>
              <c:numCache>
                <c:formatCode>0</c:formatCode>
                <c:ptCount val="7"/>
                <c:pt idx="0" formatCode="General">
                  <c:v>133.16666666666666</c:v>
                </c:pt>
                <c:pt idx="1">
                  <c:v>106.53333333333332</c:v>
                </c:pt>
                <c:pt idx="2" formatCode="General">
                  <c:v>106.53333333333333</c:v>
                </c:pt>
                <c:pt idx="3" formatCode="General">
                  <c:v>46.608333333333334</c:v>
                </c:pt>
                <c:pt idx="4" formatCode="General">
                  <c:v>46.608333333333334</c:v>
                </c:pt>
                <c:pt idx="5" formatCode="General">
                  <c:v>46.608333333333334</c:v>
                </c:pt>
                <c:pt idx="6" formatCode="General">
                  <c:v>19.974999999999998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53-4294-9DD1-B6C9AC024440}"/>
            </c:ext>
          </c:extLst>
        </c:ser>
        <c:ser>
          <c:idx val="8"/>
          <c:order val="8"/>
          <c:tx>
            <c:strRef>
              <c:f>Sheet3!$A$96</c:f>
              <c:strCache>
                <c:ptCount val="1"/>
                <c:pt idx="0">
                  <c:v>   Neville Cory</c:v>
                </c:pt>
              </c:strCache>
            </c:strRef>
          </c:tx>
          <c:spPr>
            <a:ln w="22225" cap="rnd" cmpd="sng" algn="ctr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(Sheet3!$D$96,Sheet3!$F$96,Sheet3!$H$96,Sheet3!$J$96,Sheet3!$L$96,Sheet3!$N$96,Sheet3!$P$96)</c:f>
              <c:numCache>
                <c:formatCode>0</c:formatCode>
                <c:ptCount val="7"/>
                <c:pt idx="0" formatCode="General">
                  <c:v>113.19166666666666</c:v>
                </c:pt>
                <c:pt idx="1">
                  <c:v>99.875</c:v>
                </c:pt>
                <c:pt idx="2" formatCode="General">
                  <c:v>79.899999999999991</c:v>
                </c:pt>
                <c:pt idx="3" formatCode="General">
                  <c:v>46.608333333333334</c:v>
                </c:pt>
                <c:pt idx="4" formatCode="General">
                  <c:v>26.633333333333333</c:v>
                </c:pt>
                <c:pt idx="5" formatCode="General">
                  <c:v>26.633333333333333</c:v>
                </c:pt>
                <c:pt idx="6" formatCode="General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53-4294-9DD1-B6C9AC024440}"/>
            </c:ext>
          </c:extLst>
        </c:ser>
        <c:ser>
          <c:idx val="9"/>
          <c:order val="9"/>
          <c:tx>
            <c:strRef>
              <c:f>Sheet3!$A$97</c:f>
              <c:strCache>
                <c:ptCount val="1"/>
                <c:pt idx="0">
                  <c:v>   Onur Kavakli</c:v>
                </c:pt>
              </c:strCache>
            </c:strRef>
          </c:tx>
          <c:spPr>
            <a:ln w="22225" cap="rnd" cmpd="sng" algn="ctr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(Sheet3!$D$97,Sheet3!$F$97,Sheet3!$H$97,Sheet3!$J$97,Sheet3!$L$97,Sheet3!$N$97,Sheet3!$P$97)</c:f>
              <c:numCache>
                <c:formatCode>0</c:formatCode>
                <c:ptCount val="7"/>
                <c:pt idx="0" formatCode="General">
                  <c:v>213.06666666666666</c:v>
                </c:pt>
                <c:pt idx="1">
                  <c:v>179.77500000000001</c:v>
                </c:pt>
                <c:pt idx="2" formatCode="General">
                  <c:v>159.79999999999998</c:v>
                </c:pt>
                <c:pt idx="3" formatCode="General">
                  <c:v>99.875</c:v>
                </c:pt>
                <c:pt idx="4" formatCode="General">
                  <c:v>79.900000000000006</c:v>
                </c:pt>
                <c:pt idx="5" formatCode="General">
                  <c:v>79.900000000000006</c:v>
                </c:pt>
                <c:pt idx="6" formatCode="General">
                  <c:v>53.266666666666666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753-4294-9DD1-B6C9AC024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87367904"/>
        <c:axId val="387365024"/>
      </c:lineChart>
      <c:catAx>
        <c:axId val="387367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5024"/>
        <c:crosses val="autoZero"/>
        <c:auto val="1"/>
        <c:lblAlgn val="ctr"/>
        <c:lblOffset val="100"/>
        <c:noMultiLvlLbl val="0"/>
      </c:catAx>
      <c:valAx>
        <c:axId val="387365024"/>
        <c:scaling>
          <c:orientation val="minMax"/>
        </c:scaling>
        <c:delete val="0"/>
        <c:axPos val="l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7904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LATAM 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Sheet3!$A$101</c:f>
              <c:strCache>
                <c:ptCount val="1"/>
                <c:pt idx="0">
                  <c:v>Capacity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(Sheet3!$D$104,Sheet3!$F$104,Sheet3!$H$104,Sheet3!$J$104,Sheet3!$L$104,Sheet3!$N$104,Sheet3!$P$104)</c:f>
              <c:numCache>
                <c:formatCode>0.0</c:formatCode>
                <c:ptCount val="7"/>
                <c:pt idx="0">
                  <c:v>266.33333333333331</c:v>
                </c:pt>
                <c:pt idx="1">
                  <c:v>266.33333333333331</c:v>
                </c:pt>
                <c:pt idx="2">
                  <c:v>133.16666666666666</c:v>
                </c:pt>
                <c:pt idx="3">
                  <c:v>133.16666666666666</c:v>
                </c:pt>
                <c:pt idx="4">
                  <c:v>133.16666666666666</c:v>
                </c:pt>
                <c:pt idx="5">
                  <c:v>133.16666666666666</c:v>
                </c:pt>
                <c:pt idx="6">
                  <c:v>133.16666666666666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AA-4F35-87AD-9E6B7A9DD1C8}"/>
            </c:ext>
          </c:extLst>
        </c:ser>
        <c:ser>
          <c:idx val="0"/>
          <c:order val="1"/>
          <c:tx>
            <c:strRef>
              <c:f>Sheet3!$A$100</c:f>
              <c:strCache>
                <c:ptCount val="1"/>
                <c:pt idx="0">
                  <c:v>Consumed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(Sheet3!$D$103,Sheet3!$F$103,Sheet3!$H$103,Sheet3!$J$103,Sheet3!$L$103,Sheet3!$N$103,Sheet3!$P$103)</c:f>
              <c:numCache>
                <c:formatCode>0.0</c:formatCode>
                <c:ptCount val="7"/>
                <c:pt idx="0">
                  <c:v>213.06666666666666</c:v>
                </c:pt>
                <c:pt idx="1">
                  <c:v>213.06666666666666</c:v>
                </c:pt>
                <c:pt idx="2">
                  <c:v>213.06666666666666</c:v>
                </c:pt>
                <c:pt idx="3">
                  <c:v>213.06666666666666</c:v>
                </c:pt>
                <c:pt idx="4">
                  <c:v>213.06666666666666</c:v>
                </c:pt>
                <c:pt idx="5">
                  <c:v>213.06666666666666</c:v>
                </c:pt>
                <c:pt idx="6">
                  <c:v>213.06666666666666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AA-4F35-87AD-9E6B7A9DD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67904"/>
        <c:axId val="387365024"/>
      </c:lineChart>
      <c:catAx>
        <c:axId val="3873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5024"/>
        <c:crosses val="autoZero"/>
        <c:auto val="1"/>
        <c:lblAlgn val="ctr"/>
        <c:lblOffset val="100"/>
        <c:noMultiLvlLbl val="0"/>
      </c:catAx>
      <c:valAx>
        <c:axId val="3873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Procurement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Sheet3!$A$101</c:f>
              <c:strCache>
                <c:ptCount val="1"/>
                <c:pt idx="0">
                  <c:v>Capacity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(Sheet3!$D$106,Sheet3!$F$106,Sheet3!$H$106,Sheet3!$J$106,Sheet3!$L$106,Sheet3!$N$106,Sheet3!$P$106)</c:f>
              <c:numCache>
                <c:formatCode>0.0</c:formatCode>
                <c:ptCount val="7"/>
                <c:pt idx="0">
                  <c:v>133.16666666666666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E-4401-8B08-33276A5B347E}"/>
            </c:ext>
          </c:extLst>
        </c:ser>
        <c:ser>
          <c:idx val="0"/>
          <c:order val="1"/>
          <c:tx>
            <c:strRef>
              <c:f>Sheet3!$A$100</c:f>
              <c:strCache>
                <c:ptCount val="1"/>
                <c:pt idx="0">
                  <c:v>Consumed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(Sheet3!$D$105,Sheet3!$F$105,Sheet3!$H$105,Sheet3!$J$105,Sheet3!$L$105,Sheet3!$N$105,Sheet3!$P$105)</c:f>
              <c:numCache>
                <c:formatCode>0.0</c:formatCode>
                <c:ptCount val="7"/>
                <c:pt idx="0">
                  <c:v>146.48333333333332</c:v>
                </c:pt>
                <c:pt idx="1">
                  <c:v>133.16666666666666</c:v>
                </c:pt>
                <c:pt idx="2">
                  <c:v>133.16666666666666</c:v>
                </c:pt>
                <c:pt idx="3">
                  <c:v>119.85</c:v>
                </c:pt>
                <c:pt idx="4">
                  <c:v>93.216666666666669</c:v>
                </c:pt>
                <c:pt idx="5">
                  <c:v>93.216666666666669</c:v>
                </c:pt>
                <c:pt idx="6">
                  <c:v>93.216666666666669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E-4401-8B08-33276A5B3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67904"/>
        <c:axId val="387365024"/>
      </c:lineChart>
      <c:catAx>
        <c:axId val="3873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5024"/>
        <c:crosses val="autoZero"/>
        <c:auto val="1"/>
        <c:lblAlgn val="ctr"/>
        <c:lblOffset val="100"/>
        <c:noMultiLvlLbl val="0"/>
      </c:catAx>
      <c:valAx>
        <c:axId val="3873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Mech Eng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Sheet3!$A$101</c:f>
              <c:strCache>
                <c:ptCount val="1"/>
                <c:pt idx="0">
                  <c:v>Capacity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(Sheet3!$D$108,Sheet3!$F$108,Sheet3!$H$108,Sheet3!$J$108,Sheet3!$L$108,Sheet3!$N$108,Sheet3!$P$108)</c:f>
              <c:numCache>
                <c:formatCode>0.0</c:formatCode>
                <c:ptCount val="7"/>
                <c:pt idx="0">
                  <c:v>370.06166666666661</c:v>
                </c:pt>
                <c:pt idx="1">
                  <c:v>370.06166666666661</c:v>
                </c:pt>
                <c:pt idx="2">
                  <c:v>370.06166666666661</c:v>
                </c:pt>
                <c:pt idx="3">
                  <c:v>370.06166666666661</c:v>
                </c:pt>
                <c:pt idx="4">
                  <c:v>370.06166666666661</c:v>
                </c:pt>
                <c:pt idx="5">
                  <c:v>370.06166666666661</c:v>
                </c:pt>
                <c:pt idx="6">
                  <c:v>370.06166666666661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B2C-4B64-B275-AAD3B381C350}"/>
            </c:ext>
          </c:extLst>
        </c:ser>
        <c:ser>
          <c:idx val="0"/>
          <c:order val="1"/>
          <c:tx>
            <c:strRef>
              <c:f>Sheet3!$A$100</c:f>
              <c:strCache>
                <c:ptCount val="1"/>
                <c:pt idx="0">
                  <c:v>Consumed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(Sheet3!$D$107,Sheet3!$F$107,Sheet3!$H$107,Sheet3!$J$107,Sheet3!$L$107,Sheet3!$N$107,Sheet3!$P$107)</c:f>
              <c:numCache>
                <c:formatCode>0.0</c:formatCode>
                <c:ptCount val="7"/>
                <c:pt idx="0">
                  <c:v>370.06166666666661</c:v>
                </c:pt>
                <c:pt idx="1">
                  <c:v>257.50183333333331</c:v>
                </c:pt>
                <c:pt idx="2">
                  <c:v>228.69533333333334</c:v>
                </c:pt>
                <c:pt idx="3">
                  <c:v>99.173749999999998</c:v>
                </c:pt>
                <c:pt idx="4">
                  <c:v>80.670666666666662</c:v>
                </c:pt>
                <c:pt idx="5">
                  <c:v>80.670666666666662</c:v>
                </c:pt>
                <c:pt idx="6">
                  <c:v>33.291666666666664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2C-4B64-B275-AAD3B381C3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67904"/>
        <c:axId val="387365024"/>
      </c:lineChart>
      <c:catAx>
        <c:axId val="3873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5024"/>
        <c:crosses val="autoZero"/>
        <c:auto val="1"/>
        <c:lblAlgn val="ctr"/>
        <c:lblOffset val="100"/>
        <c:noMultiLvlLbl val="0"/>
      </c:catAx>
      <c:valAx>
        <c:axId val="3873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Proc Eng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Sheet3!$A$101</c:f>
              <c:strCache>
                <c:ptCount val="1"/>
                <c:pt idx="0">
                  <c:v>Capacity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(Sheet3!$D$110,Sheet3!$F$110,Sheet3!$H$110,Sheet3!$J$110,Sheet3!$L$110,Sheet3!$N$110,Sheet3!$P$110)</c:f>
              <c:numCache>
                <c:formatCode>0.0</c:formatCode>
                <c:ptCount val="7"/>
                <c:pt idx="0">
                  <c:v>532.66666666666663</c:v>
                </c:pt>
                <c:pt idx="1">
                  <c:v>532.66666666666663</c:v>
                </c:pt>
                <c:pt idx="2">
                  <c:v>532.66666666666663</c:v>
                </c:pt>
                <c:pt idx="3">
                  <c:v>532.66666666666663</c:v>
                </c:pt>
                <c:pt idx="4">
                  <c:v>532.66666666666663</c:v>
                </c:pt>
                <c:pt idx="5">
                  <c:v>532.66666666666663</c:v>
                </c:pt>
                <c:pt idx="6">
                  <c:v>532.66666666666663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E1-400C-9E91-C0FDBFA02BEB}"/>
            </c:ext>
          </c:extLst>
        </c:ser>
        <c:ser>
          <c:idx val="0"/>
          <c:order val="1"/>
          <c:tx>
            <c:strRef>
              <c:f>Sheet3!$A$100</c:f>
              <c:strCache>
                <c:ptCount val="1"/>
                <c:pt idx="0">
                  <c:v>Consumed</c:v>
                </c:pt>
              </c:strCache>
            </c:strRef>
          </c:tx>
          <c:spPr>
            <a:ln w="15875" cap="rnd">
              <a:solidFill>
                <a:schemeClr val="accent1"/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none"/>
          </c:marker>
          <c:cat>
            <c:strRef>
              <c:f>(Sheet3!$D$87,Sheet3!$F$87,Sheet3!$H$87,Sheet3!$J$87,Sheet3!$L$87,Sheet3!$N$87,Sheet3!$P$87)</c:f>
              <c:strCache>
                <c:ptCount val="7"/>
                <c:pt idx="0">
                  <c:v>June</c:v>
                </c:pt>
                <c:pt idx="1">
                  <c:v>July</c:v>
                </c:pt>
                <c:pt idx="2">
                  <c:v>August</c:v>
                </c:pt>
                <c:pt idx="3">
                  <c:v>September</c:v>
                </c:pt>
                <c:pt idx="4">
                  <c:v>October</c:v>
                </c:pt>
                <c:pt idx="5">
                  <c:v>November</c:v>
                </c:pt>
                <c:pt idx="6">
                  <c:v>December</c:v>
                </c:pt>
              </c:strCache>
            </c:strRef>
          </c:cat>
          <c:val>
            <c:numRef>
              <c:f>(Sheet3!$D$109,Sheet3!$F$109,Sheet3!$H$109,Sheet3!$J$109,Sheet3!$L$109,Sheet3!$N$109,Sheet3!$P$109)</c:f>
              <c:numCache>
                <c:formatCode>0.0</c:formatCode>
                <c:ptCount val="7"/>
                <c:pt idx="0">
                  <c:v>632.54166666666663</c:v>
                </c:pt>
                <c:pt idx="1">
                  <c:v>599.25</c:v>
                </c:pt>
                <c:pt idx="2">
                  <c:v>559.29999999999995</c:v>
                </c:pt>
                <c:pt idx="3">
                  <c:v>386.18333333333334</c:v>
                </c:pt>
                <c:pt idx="4">
                  <c:v>213.06666666666666</c:v>
                </c:pt>
                <c:pt idx="5">
                  <c:v>199.75</c:v>
                </c:pt>
                <c:pt idx="6">
                  <c:v>173.11666666666667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E1-400C-9E91-C0FDBFA02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87367904"/>
        <c:axId val="387365024"/>
      </c:lineChart>
      <c:catAx>
        <c:axId val="38736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5024"/>
        <c:crosses val="autoZero"/>
        <c:auto val="1"/>
        <c:lblAlgn val="ctr"/>
        <c:lblOffset val="100"/>
        <c:noMultiLvlLbl val="0"/>
      </c:catAx>
      <c:valAx>
        <c:axId val="387365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736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167070</xdr:colOff>
      <xdr:row>67</xdr:row>
      <xdr:rowOff>34126</xdr:rowOff>
    </xdr:from>
    <xdr:to>
      <xdr:col>31</xdr:col>
      <xdr:colOff>585788</xdr:colOff>
      <xdr:row>85</xdr:row>
      <xdr:rowOff>20146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EE0227-B9CB-6E85-1D92-912133AF68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467591</xdr:colOff>
      <xdr:row>85</xdr:row>
      <xdr:rowOff>168775</xdr:rowOff>
    </xdr:from>
    <xdr:to>
      <xdr:col>27</xdr:col>
      <xdr:colOff>399159</xdr:colOff>
      <xdr:row>92</xdr:row>
      <xdr:rowOff>136101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ACD06C2-6A13-4493-BFE8-A4016A9FEE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92</xdr:row>
      <xdr:rowOff>139233</xdr:rowOff>
    </xdr:from>
    <xdr:to>
      <xdr:col>27</xdr:col>
      <xdr:colOff>408659</xdr:colOff>
      <xdr:row>102</xdr:row>
      <xdr:rowOff>164294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744930D-5998-4BA3-A011-874463110A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102</xdr:row>
      <xdr:rowOff>145677</xdr:rowOff>
    </xdr:from>
    <xdr:to>
      <xdr:col>27</xdr:col>
      <xdr:colOff>408659</xdr:colOff>
      <xdr:row>113</xdr:row>
      <xdr:rowOff>2650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2A0910C-0223-4699-9C01-76A723DF7A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470647</xdr:colOff>
      <xdr:row>113</xdr:row>
      <xdr:rowOff>22412</xdr:rowOff>
    </xdr:from>
    <xdr:to>
      <xdr:col>27</xdr:col>
      <xdr:colOff>397453</xdr:colOff>
      <xdr:row>123</xdr:row>
      <xdr:rowOff>58679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80E0FB-A9A6-4E74-A835-2BCE7CFD83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0.04606</cdr:x>
      <cdr:y>0.52901</cdr:y>
    </cdr:from>
    <cdr:to>
      <cdr:x>0.79198</cdr:x>
      <cdr:y>0.53121</cdr:y>
    </cdr:to>
    <cdr:cxnSp macro="">
      <cdr:nvCxnSpPr>
        <cdr:cNvPr id="3" name="Straight Connector 2">
          <a:extLst xmlns:a="http://schemas.openxmlformats.org/drawingml/2006/main">
            <a:ext uri="{FF2B5EF4-FFF2-40B4-BE49-F238E27FC236}">
              <a16:creationId xmlns:a16="http://schemas.microsoft.com/office/drawing/2014/main" id="{4F883375-ABEC-DF32-778D-222270FFA358}"/>
            </a:ext>
          </a:extLst>
        </cdr:cNvPr>
        <cdr:cNvCxnSpPr/>
      </cdr:nvCxnSpPr>
      <cdr:spPr>
        <a:xfrm xmlns:a="http://schemas.openxmlformats.org/drawingml/2006/main" flipV="1">
          <a:off x="404933" y="1636850"/>
          <a:ext cx="6557842" cy="6813"/>
        </a:xfrm>
        <a:prstGeom xmlns:a="http://schemas.openxmlformats.org/drawingml/2006/main" prst="line">
          <a:avLst/>
        </a:prstGeom>
        <a:ln xmlns:a="http://schemas.openxmlformats.org/drawingml/2006/main" w="34925">
          <a:solidFill>
            <a:srgbClr val="FFFF00"/>
          </a:solidFill>
          <a:prstDash val="dash"/>
        </a:ln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4D4B0F7-3D74-4080-9C94-DB2043FFC680}" name="Table2" displayName="Table2" ref="A1:F11" totalsRowShown="0">
  <autoFilter ref="A1:F11" xr:uid="{04D4B0F7-3D74-4080-9C94-DB2043FFC680}"/>
  <tableColumns count="6">
    <tableColumn id="1" xr3:uid="{30F38925-49A1-4971-A3A8-57399BA77F8C}" name="Name"/>
    <tableColumn id="2" xr3:uid="{26FA3F7A-E1F9-44F6-ACCC-AC3DDFAFD0A6}" name="Role"/>
    <tableColumn id="3" xr3:uid="{7260CFF4-E4AC-4FE4-9808-1DA77EFA67C2}" name="Discipline"/>
    <tableColumn id="6" xr3:uid="{7F6F13E6-479B-48BD-9A0A-8EC255B6BCC1}" name="Working Hours (FT-20%)"/>
    <tableColumn id="4" xr3:uid="{FB472ABE-B04B-490F-BC93-48FB8C39C353}" name="Contract Type"/>
    <tableColumn id="5" xr3:uid="{AE1DEB59-E34E-4706-ACF1-EE3C13041724}" name="Supervisor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55FEBB-4038-47BB-B475-05F62706965E}" name="Table3" displayName="Table3" ref="J1:J6" totalsRowShown="0">
  <autoFilter ref="J1:J6" xr:uid="{2655FEBB-4038-47BB-B475-05F62706965E}"/>
  <tableColumns count="1">
    <tableColumn id="1" xr3:uid="{0FBB8097-19AD-479E-BA9C-529C4717DAC1}" name="Project Manager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9D936C-D9FD-4406-A04E-1BB0673DC04A}" name="Table4" displayName="Table4" ref="H1:H8" totalsRowShown="0" dataDxfId="4" headerRowBorderDxfId="5" tableBorderDxfId="3" totalsRowBorderDxfId="2">
  <autoFilter ref="H1:H8" xr:uid="{AA9D936C-D9FD-4406-A04E-1BB0673DC04A}"/>
  <tableColumns count="1">
    <tableColumn id="1" xr3:uid="{604C1234-B3F1-48FE-B21A-4EC6B8E20D73}" name="Project" dataDxfId="1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F3900B-A84D-4C68-8E03-8A5B15365C81}" name="Table1" displayName="Table1" ref="A1:M35" totalsRowShown="0" headerRowDxfId="0">
  <autoFilter ref="A1:M35" xr:uid="{7AF3900B-A84D-4C68-8E03-8A5B15365C81}"/>
  <tableColumns count="13">
    <tableColumn id="1" xr3:uid="{61599983-20C7-407E-AC06-27A8FED05598}" name="Project"/>
    <tableColumn id="2" xr3:uid="{1931095E-5E4B-4447-A62E-E88B18B42DF1}" name="PM"/>
    <tableColumn id="3" xr3:uid="{B98C279E-B3E0-4B1D-A392-10C3DAF69E0A}" name="Status"/>
    <tableColumn id="4" xr3:uid="{B6EB09E9-EA27-4423-9732-C07B39D2C8C3}" name="Discipline"/>
    <tableColumn id="5" xr3:uid="{C188A90D-2C64-4CE1-B2E4-3D73A2B584B8}" name="Jun/26"/>
    <tableColumn id="6" xr3:uid="{B1BA6F08-CA7A-4082-AF56-D98375F94E23}" name="Jul/26"/>
    <tableColumn id="7" xr3:uid="{28B222F1-AE90-40A8-846D-0D6CF6436AAB}" name="Aug/26"/>
    <tableColumn id="8" xr3:uid="{7A304322-0BBF-4F72-9DF1-04A56F186333}" name="Sept/26"/>
    <tableColumn id="9" xr3:uid="{5AD078D7-F183-4057-B4FA-51309C9D88B0}" name="Oct/26"/>
    <tableColumn id="10" xr3:uid="{EAEF6E02-9C47-4653-B88F-78B47A4F71D4}" name="Nov/26"/>
    <tableColumn id="11" xr3:uid="{05B01589-90AA-44B9-B5EF-7DE570ED4FA5}" name="Dec/26"/>
    <tableColumn id="12" xr3:uid="{5FBE6C28-723B-48F7-A875-C8C46780E6C6}" name="Confidence"/>
    <tableColumn id="13" xr3:uid="{4D2B71B1-291C-45BE-9C7A-90F307E6F8BE}" name="Notes / assumption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workbookViewId="0">
      <selection activeCell="H21" sqref="H21"/>
    </sheetView>
  </sheetViews>
  <sheetFormatPr defaultRowHeight="14.25" x14ac:dyDescent="0.45"/>
  <cols>
    <col min="1" max="1" width="21.86328125" bestFit="1" customWidth="1"/>
    <col min="2" max="2" width="29.86328125" bestFit="1" customWidth="1"/>
    <col min="3" max="3" width="16.73046875" bestFit="1" customWidth="1"/>
    <col min="4" max="4" width="23.3984375" bestFit="1" customWidth="1"/>
    <col min="5" max="5" width="14.1328125" customWidth="1"/>
    <col min="6" max="6" width="11.59765625" customWidth="1"/>
    <col min="8" max="8" width="25.1328125" bestFit="1" customWidth="1"/>
    <col min="10" max="10" width="19.39843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J1" t="s">
        <v>7</v>
      </c>
    </row>
    <row r="2" spans="1:10" x14ac:dyDescent="0.45">
      <c r="A2" t="s">
        <v>8</v>
      </c>
      <c r="B2" t="s">
        <v>9</v>
      </c>
      <c r="C2" t="s">
        <v>10</v>
      </c>
      <c r="D2">
        <v>40</v>
      </c>
      <c r="E2" t="s">
        <v>11</v>
      </c>
      <c r="F2" t="s">
        <v>12</v>
      </c>
      <c r="H2" t="s">
        <v>13</v>
      </c>
      <c r="J2" t="s">
        <v>14</v>
      </c>
    </row>
    <row r="3" spans="1:10" x14ac:dyDescent="0.45">
      <c r="A3" t="s">
        <v>15</v>
      </c>
      <c r="B3" t="s">
        <v>7</v>
      </c>
      <c r="C3" t="s">
        <v>16</v>
      </c>
      <c r="D3">
        <v>40</v>
      </c>
      <c r="E3" t="s">
        <v>11</v>
      </c>
      <c r="F3" t="s">
        <v>12</v>
      </c>
      <c r="H3" t="s">
        <v>17</v>
      </c>
      <c r="J3" t="s">
        <v>18</v>
      </c>
    </row>
    <row r="4" spans="1:10" x14ac:dyDescent="0.45">
      <c r="A4" t="s">
        <v>19</v>
      </c>
      <c r="B4" t="s">
        <v>20</v>
      </c>
      <c r="C4" t="s">
        <v>16</v>
      </c>
      <c r="D4">
        <v>40</v>
      </c>
      <c r="E4" t="s">
        <v>11</v>
      </c>
      <c r="F4" t="s">
        <v>12</v>
      </c>
      <c r="H4" t="s">
        <v>21</v>
      </c>
    </row>
    <row r="5" spans="1:10" x14ac:dyDescent="0.45">
      <c r="A5" t="s">
        <v>22</v>
      </c>
      <c r="B5" t="s">
        <v>23</v>
      </c>
      <c r="C5" t="s">
        <v>24</v>
      </c>
      <c r="D5">
        <v>40</v>
      </c>
      <c r="E5" t="s">
        <v>11</v>
      </c>
      <c r="F5" t="s">
        <v>12</v>
      </c>
      <c r="H5" t="s">
        <v>25</v>
      </c>
    </row>
    <row r="6" spans="1:10" x14ac:dyDescent="0.45">
      <c r="A6" t="s">
        <v>26</v>
      </c>
      <c r="B6" t="s">
        <v>27</v>
      </c>
      <c r="C6" t="s">
        <v>28</v>
      </c>
      <c r="D6">
        <v>40</v>
      </c>
      <c r="E6" t="s">
        <v>11</v>
      </c>
      <c r="F6" t="s">
        <v>12</v>
      </c>
      <c r="H6" t="s">
        <v>29</v>
      </c>
    </row>
    <row r="7" spans="1:10" x14ac:dyDescent="0.45">
      <c r="A7" t="s">
        <v>30</v>
      </c>
      <c r="B7" t="s">
        <v>27</v>
      </c>
      <c r="C7" t="s">
        <v>28</v>
      </c>
      <c r="D7">
        <v>40</v>
      </c>
      <c r="E7" t="s">
        <v>11</v>
      </c>
      <c r="F7" t="s">
        <v>12</v>
      </c>
      <c r="H7" t="s">
        <v>31</v>
      </c>
    </row>
    <row r="8" spans="1:10" x14ac:dyDescent="0.45">
      <c r="A8" t="s">
        <v>32</v>
      </c>
      <c r="B8" t="s">
        <v>33</v>
      </c>
      <c r="C8" t="s">
        <v>34</v>
      </c>
      <c r="D8">
        <v>40</v>
      </c>
      <c r="E8" t="s">
        <v>11</v>
      </c>
      <c r="F8" t="s">
        <v>8</v>
      </c>
      <c r="H8" t="s">
        <v>35</v>
      </c>
    </row>
    <row r="9" spans="1:10" x14ac:dyDescent="0.45">
      <c r="A9" t="s">
        <v>36</v>
      </c>
      <c r="B9" t="s">
        <v>33</v>
      </c>
      <c r="C9" t="s">
        <v>34</v>
      </c>
      <c r="D9">
        <v>40</v>
      </c>
      <c r="E9" t="s">
        <v>11</v>
      </c>
      <c r="F9" t="s">
        <v>8</v>
      </c>
    </row>
    <row r="10" spans="1:10" x14ac:dyDescent="0.45">
      <c r="A10" t="s">
        <v>37</v>
      </c>
      <c r="B10" t="s">
        <v>33</v>
      </c>
      <c r="C10" t="s">
        <v>34</v>
      </c>
      <c r="D10">
        <v>40</v>
      </c>
      <c r="E10" t="s">
        <v>11</v>
      </c>
      <c r="F10" t="s">
        <v>8</v>
      </c>
    </row>
    <row r="11" spans="1:10" x14ac:dyDescent="0.45">
      <c r="A11" t="s">
        <v>38</v>
      </c>
      <c r="B11" t="s">
        <v>39</v>
      </c>
      <c r="C11" t="s">
        <v>40</v>
      </c>
      <c r="D11">
        <v>40</v>
      </c>
      <c r="E11" t="s">
        <v>11</v>
      </c>
      <c r="F11" t="s">
        <v>12</v>
      </c>
    </row>
  </sheetData>
  <pageMargins left="0.75" right="0.75" top="1" bottom="1" header="0.5" footer="0.5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B5DC-EC83-4AFB-BB57-A7102200D8BA}">
  <dimension ref="A1:R116"/>
  <sheetViews>
    <sheetView tabSelected="1" topLeftCell="A21" zoomScale="85" zoomScaleNormal="85" workbookViewId="0">
      <selection activeCell="P120" sqref="P120"/>
    </sheetView>
  </sheetViews>
  <sheetFormatPr defaultRowHeight="14.25" outlineLevelRow="1" x14ac:dyDescent="0.45"/>
  <cols>
    <col min="1" max="1" width="24.73046875" customWidth="1"/>
    <col min="2" max="2" width="9.9296875" style="5" bestFit="1" customWidth="1"/>
    <col min="3" max="3" width="5.3984375" bestFit="1" customWidth="1"/>
    <col min="4" max="4" width="5.796875" bestFit="1" customWidth="1"/>
    <col min="5" max="5" width="6.59765625" style="10" customWidth="1"/>
    <col min="6" max="18" width="6.59765625" customWidth="1"/>
  </cols>
  <sheetData>
    <row r="1" spans="1:18" ht="14.65" thickBot="1" x14ac:dyDescent="0.5">
      <c r="E1" s="12"/>
      <c r="F1" s="12"/>
    </row>
    <row r="2" spans="1:18" ht="14.65" thickBot="1" x14ac:dyDescent="0.5">
      <c r="A2" s="13"/>
      <c r="B2" s="14"/>
      <c r="C2" s="14"/>
      <c r="D2" s="14"/>
      <c r="E2" s="15" t="s">
        <v>41</v>
      </c>
      <c r="F2" s="16"/>
      <c r="G2" s="15" t="s">
        <v>42</v>
      </c>
      <c r="H2" s="16"/>
      <c r="I2" s="15" t="s">
        <v>43</v>
      </c>
      <c r="J2" s="16"/>
      <c r="K2" s="15" t="s">
        <v>44</v>
      </c>
      <c r="L2" s="16"/>
      <c r="M2" s="15" t="s">
        <v>45</v>
      </c>
      <c r="N2" s="16"/>
      <c r="O2" s="15" t="s">
        <v>46</v>
      </c>
      <c r="P2" s="16"/>
      <c r="Q2" s="15" t="s">
        <v>47</v>
      </c>
      <c r="R2" s="16"/>
    </row>
    <row r="3" spans="1:18" x14ac:dyDescent="0.45">
      <c r="A3" s="20" t="s">
        <v>13</v>
      </c>
      <c r="B3" s="21"/>
      <c r="C3" s="22"/>
      <c r="D3" s="23"/>
      <c r="E3" s="32">
        <f>SUM(E4:E13)</f>
        <v>242.78266666666661</v>
      </c>
      <c r="F3" s="33">
        <f t="shared" ref="F3:R3" si="0">SUM(F4:F13)</f>
        <v>2.0000000000000004</v>
      </c>
      <c r="G3" s="32">
        <f>SUM(G4:G13)</f>
        <v>87.328999999999979</v>
      </c>
      <c r="H3" s="33">
        <f t="shared" si="0"/>
        <v>0.70000000000000007</v>
      </c>
      <c r="I3" s="32">
        <f>SUM(I4:I13)</f>
        <v>141.3663333333333</v>
      </c>
      <c r="J3" s="33">
        <f t="shared" si="0"/>
        <v>1.1499999999999999</v>
      </c>
      <c r="K3" s="32">
        <f>SUM(K4:K13)</f>
        <v>67.353999999999985</v>
      </c>
      <c r="L3" s="33">
        <f t="shared" si="0"/>
        <v>0.54999999999999993</v>
      </c>
      <c r="M3" s="32">
        <f>SUM(M4:M13)</f>
        <v>100.64566666666667</v>
      </c>
      <c r="N3" s="33">
        <f t="shared" si="0"/>
        <v>0.8</v>
      </c>
      <c r="O3" s="32">
        <f>SUM(O4:O13)</f>
        <v>100.64566666666667</v>
      </c>
      <c r="P3" s="33">
        <f t="shared" si="0"/>
        <v>0.8</v>
      </c>
      <c r="Q3" s="32">
        <f>SUM(Q4:Q13)</f>
        <v>0</v>
      </c>
      <c r="R3" s="33">
        <f t="shared" si="0"/>
        <v>0</v>
      </c>
    </row>
    <row r="4" spans="1:18" outlineLevel="1" x14ac:dyDescent="0.45">
      <c r="A4" s="24" t="str">
        <f>$A$88</f>
        <v xml:space="preserve">   Maria Alonzo</v>
      </c>
      <c r="B4" s="7">
        <f>$C$88</f>
        <v>133.16666666666666</v>
      </c>
      <c r="C4" s="3"/>
      <c r="D4" s="11"/>
      <c r="E4" s="34">
        <f>B4*F4</f>
        <v>0</v>
      </c>
      <c r="F4" s="35">
        <v>0</v>
      </c>
      <c r="G4" s="34">
        <f>B4*H4</f>
        <v>0</v>
      </c>
      <c r="H4" s="35">
        <v>0</v>
      </c>
      <c r="I4" s="34">
        <f>B4*J4</f>
        <v>0</v>
      </c>
      <c r="J4" s="35">
        <v>0</v>
      </c>
      <c r="K4" s="34">
        <f>B4*L4</f>
        <v>0</v>
      </c>
      <c r="L4" s="35">
        <v>0</v>
      </c>
      <c r="M4" s="34">
        <f>B4*N4</f>
        <v>0</v>
      </c>
      <c r="N4" s="35">
        <v>0</v>
      </c>
      <c r="O4" s="34">
        <f>B4*P4</f>
        <v>0</v>
      </c>
      <c r="P4" s="35">
        <v>0</v>
      </c>
      <c r="Q4" s="34">
        <f>B4*R4</f>
        <v>0</v>
      </c>
      <c r="R4" s="35">
        <v>0</v>
      </c>
    </row>
    <row r="5" spans="1:18" outlineLevel="1" x14ac:dyDescent="0.45">
      <c r="A5" s="24" t="str">
        <f>$A$89</f>
        <v xml:space="preserve">   Jacobo Ramirez</v>
      </c>
      <c r="B5" s="7">
        <f>$C$89</f>
        <v>133.16666666666666</v>
      </c>
      <c r="C5" s="3"/>
      <c r="D5" s="11"/>
      <c r="E5" s="34">
        <f t="shared" ref="E5:E13" si="1">B5*F5</f>
        <v>0</v>
      </c>
      <c r="F5" s="35">
        <v>0</v>
      </c>
      <c r="G5" s="34">
        <f t="shared" ref="G5:G13" si="2">B5*H5</f>
        <v>0</v>
      </c>
      <c r="H5" s="35">
        <v>0</v>
      </c>
      <c r="I5" s="34">
        <f t="shared" ref="I5:I13" si="3">B5*J5</f>
        <v>0</v>
      </c>
      <c r="J5" s="35">
        <v>0</v>
      </c>
      <c r="K5" s="34">
        <f t="shared" ref="K5:K13" si="4">B5*L5</f>
        <v>0</v>
      </c>
      <c r="L5" s="35">
        <v>0</v>
      </c>
      <c r="M5" s="34">
        <f t="shared" ref="M5:M13" si="5">B5*N5</f>
        <v>0</v>
      </c>
      <c r="N5" s="35">
        <v>0</v>
      </c>
      <c r="O5" s="34">
        <f t="shared" ref="O5:O13" si="6">B5*P5</f>
        <v>0</v>
      </c>
      <c r="P5" s="35">
        <v>0</v>
      </c>
      <c r="Q5" s="34">
        <f t="shared" ref="Q5:Q68" si="7">B5*R5</f>
        <v>0</v>
      </c>
      <c r="R5" s="35">
        <v>0</v>
      </c>
    </row>
    <row r="6" spans="1:18" outlineLevel="1" x14ac:dyDescent="0.45">
      <c r="A6" s="24" t="str">
        <f>$A$90</f>
        <v xml:space="preserve">   Boris Welzen</v>
      </c>
      <c r="B6" s="7">
        <f>$C$90</f>
        <v>133.16666666666666</v>
      </c>
      <c r="C6" s="3"/>
      <c r="D6" s="11"/>
      <c r="E6" s="34">
        <f t="shared" si="1"/>
        <v>39.949999999999996</v>
      </c>
      <c r="F6" s="35">
        <v>0.3</v>
      </c>
      <c r="G6" s="34">
        <f t="shared" si="2"/>
        <v>0</v>
      </c>
      <c r="H6" s="35">
        <v>0</v>
      </c>
      <c r="I6" s="34">
        <f t="shared" si="3"/>
        <v>0</v>
      </c>
      <c r="J6" s="35">
        <v>0</v>
      </c>
      <c r="K6" s="34">
        <f t="shared" si="4"/>
        <v>0</v>
      </c>
      <c r="L6" s="35">
        <v>0</v>
      </c>
      <c r="M6" s="34">
        <f t="shared" si="5"/>
        <v>0</v>
      </c>
      <c r="N6" s="35">
        <v>0</v>
      </c>
      <c r="O6" s="34">
        <f t="shared" si="6"/>
        <v>0</v>
      </c>
      <c r="P6" s="35">
        <v>0</v>
      </c>
      <c r="Q6" s="34">
        <f t="shared" si="7"/>
        <v>0</v>
      </c>
      <c r="R6" s="35">
        <v>0</v>
      </c>
    </row>
    <row r="7" spans="1:18" outlineLevel="1" x14ac:dyDescent="0.45">
      <c r="A7" s="24" t="str">
        <f>$A$91</f>
        <v xml:space="preserve">   Rutger Reij</v>
      </c>
      <c r="B7" s="7">
        <f>$C$91</f>
        <v>103.72833333333332</v>
      </c>
      <c r="C7" s="3"/>
      <c r="D7" s="11"/>
      <c r="E7" s="34">
        <f t="shared" si="1"/>
        <v>82.98266666666666</v>
      </c>
      <c r="F7" s="35">
        <v>0.8</v>
      </c>
      <c r="G7" s="34">
        <f t="shared" si="2"/>
        <v>20.745666666666665</v>
      </c>
      <c r="H7" s="35">
        <v>0.2</v>
      </c>
      <c r="I7" s="34">
        <f t="shared" si="3"/>
        <v>41.49133333333333</v>
      </c>
      <c r="J7" s="35">
        <v>0.4</v>
      </c>
      <c r="K7" s="34">
        <f t="shared" si="4"/>
        <v>20.745666666666665</v>
      </c>
      <c r="L7" s="35">
        <v>0.2</v>
      </c>
      <c r="M7" s="34">
        <f t="shared" si="5"/>
        <v>20.745666666666665</v>
      </c>
      <c r="N7" s="35">
        <v>0.2</v>
      </c>
      <c r="O7" s="34">
        <f t="shared" si="6"/>
        <v>20.745666666666665</v>
      </c>
      <c r="P7" s="35">
        <v>0.2</v>
      </c>
      <c r="Q7" s="34">
        <f t="shared" si="7"/>
        <v>0</v>
      </c>
      <c r="R7" s="35">
        <v>0</v>
      </c>
    </row>
    <row r="8" spans="1:18" outlineLevel="1" x14ac:dyDescent="0.45">
      <c r="A8" s="24" t="str">
        <f>$A$92</f>
        <v xml:space="preserve">   Fatemeh Rashidashmagh</v>
      </c>
      <c r="B8" s="7">
        <f>$C$92</f>
        <v>133.16666666666666</v>
      </c>
      <c r="C8" s="3"/>
      <c r="D8" s="11"/>
      <c r="E8" s="34">
        <f t="shared" si="1"/>
        <v>13.316666666666666</v>
      </c>
      <c r="F8" s="35">
        <v>0.1</v>
      </c>
      <c r="G8" s="34">
        <f t="shared" si="2"/>
        <v>0</v>
      </c>
      <c r="H8" s="35">
        <v>0</v>
      </c>
      <c r="I8" s="34">
        <f t="shared" si="3"/>
        <v>0</v>
      </c>
      <c r="J8" s="35">
        <v>0</v>
      </c>
      <c r="K8" s="34">
        <f t="shared" si="4"/>
        <v>0</v>
      </c>
      <c r="L8" s="35">
        <v>0</v>
      </c>
      <c r="M8" s="34">
        <f t="shared" si="5"/>
        <v>0</v>
      </c>
      <c r="N8" s="35">
        <v>0</v>
      </c>
      <c r="O8" s="34">
        <f t="shared" si="6"/>
        <v>0</v>
      </c>
      <c r="P8" s="35">
        <v>0</v>
      </c>
      <c r="Q8" s="34">
        <f t="shared" si="7"/>
        <v>0</v>
      </c>
      <c r="R8" s="35">
        <v>0</v>
      </c>
    </row>
    <row r="9" spans="1:18" outlineLevel="1" x14ac:dyDescent="0.45">
      <c r="A9" s="24" t="str">
        <f>$A$93</f>
        <v xml:space="preserve">   William Garcia</v>
      </c>
      <c r="B9" s="7">
        <f>$C$93</f>
        <v>133.16666666666666</v>
      </c>
      <c r="C9" s="3"/>
      <c r="D9" s="11"/>
      <c r="E9" s="34">
        <f t="shared" si="1"/>
        <v>0</v>
      </c>
      <c r="F9" s="35">
        <v>0</v>
      </c>
      <c r="G9" s="34">
        <f t="shared" si="2"/>
        <v>0</v>
      </c>
      <c r="H9" s="35">
        <v>0</v>
      </c>
      <c r="I9" s="34">
        <f t="shared" si="3"/>
        <v>0</v>
      </c>
      <c r="J9" s="35">
        <v>0</v>
      </c>
      <c r="K9" s="34">
        <f t="shared" si="4"/>
        <v>0</v>
      </c>
      <c r="L9" s="35">
        <v>0</v>
      </c>
      <c r="M9" s="34">
        <f t="shared" si="5"/>
        <v>0</v>
      </c>
      <c r="N9" s="35">
        <v>0</v>
      </c>
      <c r="O9" s="34">
        <f t="shared" si="6"/>
        <v>0</v>
      </c>
      <c r="P9" s="35">
        <v>0</v>
      </c>
      <c r="Q9" s="34">
        <f t="shared" si="7"/>
        <v>0</v>
      </c>
      <c r="R9" s="35">
        <v>0</v>
      </c>
    </row>
    <row r="10" spans="1:18" outlineLevel="1" x14ac:dyDescent="0.45">
      <c r="A10" s="24" t="str">
        <f>$A$94</f>
        <v xml:space="preserve">   Ajitha Karuppiah</v>
      </c>
      <c r="B10" s="7">
        <f>$C$94</f>
        <v>133.16666666666666</v>
      </c>
      <c r="C10" s="3"/>
      <c r="D10" s="11"/>
      <c r="E10" s="34">
        <f t="shared" si="1"/>
        <v>13.316666666666666</v>
      </c>
      <c r="F10" s="35">
        <v>0.1</v>
      </c>
      <c r="G10" s="34">
        <f t="shared" si="2"/>
        <v>13.316666666666666</v>
      </c>
      <c r="H10" s="35">
        <v>0.1</v>
      </c>
      <c r="I10" s="34">
        <f t="shared" si="3"/>
        <v>6.6583333333333332</v>
      </c>
      <c r="J10" s="35">
        <v>0.05</v>
      </c>
      <c r="K10" s="34">
        <f t="shared" si="4"/>
        <v>0</v>
      </c>
      <c r="L10" s="35">
        <v>0</v>
      </c>
      <c r="M10" s="34">
        <f t="shared" si="5"/>
        <v>0</v>
      </c>
      <c r="N10" s="35">
        <v>0</v>
      </c>
      <c r="O10" s="34">
        <f t="shared" si="6"/>
        <v>0</v>
      </c>
      <c r="P10" s="35">
        <v>0</v>
      </c>
      <c r="Q10" s="34">
        <f t="shared" si="7"/>
        <v>0</v>
      </c>
      <c r="R10" s="35">
        <v>0</v>
      </c>
    </row>
    <row r="11" spans="1:18" outlineLevel="1" x14ac:dyDescent="0.45">
      <c r="A11" s="24" t="str">
        <f>$A$95</f>
        <v xml:space="preserve">   Anwar Hassan</v>
      </c>
      <c r="B11" s="7">
        <f>$C$95</f>
        <v>133.16666666666666</v>
      </c>
      <c r="C11" s="3"/>
      <c r="D11" s="11"/>
      <c r="E11" s="34">
        <f t="shared" si="1"/>
        <v>39.949999999999996</v>
      </c>
      <c r="F11" s="35">
        <v>0.3</v>
      </c>
      <c r="G11" s="34">
        <f t="shared" si="2"/>
        <v>13.316666666666666</v>
      </c>
      <c r="H11" s="35">
        <v>0.1</v>
      </c>
      <c r="I11" s="34">
        <f t="shared" si="3"/>
        <v>39.949999999999996</v>
      </c>
      <c r="J11" s="35">
        <v>0.3</v>
      </c>
      <c r="K11" s="34">
        <f t="shared" si="4"/>
        <v>19.974999999999998</v>
      </c>
      <c r="L11" s="35">
        <v>0.15</v>
      </c>
      <c r="M11" s="34">
        <f t="shared" si="5"/>
        <v>26.633333333333333</v>
      </c>
      <c r="N11" s="35">
        <v>0.2</v>
      </c>
      <c r="O11" s="34">
        <f t="shared" si="6"/>
        <v>26.633333333333333</v>
      </c>
      <c r="P11" s="35">
        <v>0.2</v>
      </c>
      <c r="Q11" s="34">
        <f t="shared" si="7"/>
        <v>0</v>
      </c>
      <c r="R11" s="35">
        <v>0</v>
      </c>
    </row>
    <row r="12" spans="1:18" outlineLevel="1" x14ac:dyDescent="0.45">
      <c r="A12" s="24" t="str">
        <f>$A$96</f>
        <v xml:space="preserve">   Neville Cory</v>
      </c>
      <c r="B12" s="7">
        <f>$C$96</f>
        <v>133.16666666666666</v>
      </c>
      <c r="C12" s="3"/>
      <c r="D12" s="11"/>
      <c r="E12" s="34">
        <f t="shared" si="1"/>
        <v>39.949999999999996</v>
      </c>
      <c r="F12" s="35">
        <v>0.3</v>
      </c>
      <c r="G12" s="34">
        <f t="shared" si="2"/>
        <v>26.633333333333333</v>
      </c>
      <c r="H12" s="35">
        <v>0.2</v>
      </c>
      <c r="I12" s="34">
        <f t="shared" si="3"/>
        <v>26.633333333333333</v>
      </c>
      <c r="J12" s="35">
        <v>0.2</v>
      </c>
      <c r="K12" s="34">
        <f t="shared" si="4"/>
        <v>13.316666666666666</v>
      </c>
      <c r="L12" s="35">
        <v>0.1</v>
      </c>
      <c r="M12" s="34">
        <f t="shared" si="5"/>
        <v>26.633333333333333</v>
      </c>
      <c r="N12" s="35">
        <v>0.2</v>
      </c>
      <c r="O12" s="34">
        <f t="shared" si="6"/>
        <v>26.633333333333333</v>
      </c>
      <c r="P12" s="35">
        <v>0.2</v>
      </c>
      <c r="Q12" s="34">
        <f t="shared" si="7"/>
        <v>0</v>
      </c>
      <c r="R12" s="35">
        <v>0</v>
      </c>
    </row>
    <row r="13" spans="1:18" ht="14.65" outlineLevel="1" thickBot="1" x14ac:dyDescent="0.5">
      <c r="A13" s="25" t="str">
        <f>$A$97</f>
        <v xml:space="preserve">   Onur Kavakli</v>
      </c>
      <c r="B13" s="26">
        <f>$C$97</f>
        <v>133.16666666666666</v>
      </c>
      <c r="C13" s="27"/>
      <c r="D13" s="28"/>
      <c r="E13" s="36">
        <f t="shared" si="1"/>
        <v>13.316666666666666</v>
      </c>
      <c r="F13" s="37">
        <v>0.1</v>
      </c>
      <c r="G13" s="36">
        <f t="shared" si="2"/>
        <v>13.316666666666666</v>
      </c>
      <c r="H13" s="37">
        <v>0.1</v>
      </c>
      <c r="I13" s="36">
        <f t="shared" si="3"/>
        <v>26.633333333333333</v>
      </c>
      <c r="J13" s="37">
        <v>0.2</v>
      </c>
      <c r="K13" s="36">
        <f t="shared" si="4"/>
        <v>13.316666666666666</v>
      </c>
      <c r="L13" s="37">
        <v>0.1</v>
      </c>
      <c r="M13" s="36">
        <f t="shared" si="5"/>
        <v>26.633333333333333</v>
      </c>
      <c r="N13" s="37">
        <v>0.2</v>
      </c>
      <c r="O13" s="36">
        <f t="shared" si="6"/>
        <v>26.633333333333333</v>
      </c>
      <c r="P13" s="37">
        <v>0.2</v>
      </c>
      <c r="Q13" s="36">
        <f t="shared" si="7"/>
        <v>0</v>
      </c>
      <c r="R13" s="37">
        <v>0</v>
      </c>
    </row>
    <row r="14" spans="1:18" x14ac:dyDescent="0.45">
      <c r="A14" s="17" t="s">
        <v>17</v>
      </c>
      <c r="B14" s="18"/>
      <c r="C14" s="17"/>
      <c r="D14" s="19"/>
      <c r="E14" s="38">
        <f t="shared" ref="E14:R14" si="8">SUM(E15:E24)</f>
        <v>80.670666666666648</v>
      </c>
      <c r="F14" s="39">
        <f t="shared" si="8"/>
        <v>0.64999999999999991</v>
      </c>
      <c r="G14" s="38">
        <f t="shared" si="8"/>
        <v>83.614499999999992</v>
      </c>
      <c r="H14" s="39">
        <f t="shared" si="8"/>
        <v>0.65</v>
      </c>
      <c r="I14" s="38">
        <f t="shared" si="8"/>
        <v>100.64566666666666</v>
      </c>
      <c r="J14" s="39">
        <f t="shared" si="8"/>
        <v>0.8</v>
      </c>
      <c r="K14" s="38">
        <f t="shared" si="8"/>
        <v>18.503083333333333</v>
      </c>
      <c r="L14" s="39">
        <f t="shared" si="8"/>
        <v>0.15000000000000002</v>
      </c>
      <c r="M14" s="38">
        <f t="shared" si="8"/>
        <v>0</v>
      </c>
      <c r="N14" s="39">
        <f t="shared" si="8"/>
        <v>0</v>
      </c>
      <c r="O14" s="38">
        <f t="shared" si="8"/>
        <v>0</v>
      </c>
      <c r="P14" s="39">
        <f t="shared" si="8"/>
        <v>0</v>
      </c>
      <c r="Q14" s="38">
        <f t="shared" si="8"/>
        <v>0</v>
      </c>
      <c r="R14" s="39">
        <f t="shared" si="8"/>
        <v>0</v>
      </c>
    </row>
    <row r="15" spans="1:18" outlineLevel="1" x14ac:dyDescent="0.45">
      <c r="A15" s="3" t="str">
        <f>$A$88</f>
        <v xml:space="preserve">   Maria Alonzo</v>
      </c>
      <c r="B15" s="7">
        <f>$C$88</f>
        <v>133.16666666666666</v>
      </c>
      <c r="C15" s="3"/>
      <c r="D15" s="11"/>
      <c r="E15" s="34">
        <f>B15*F15</f>
        <v>0</v>
      </c>
      <c r="F15" s="35">
        <v>0</v>
      </c>
      <c r="G15" s="34">
        <f>B15*H15</f>
        <v>0</v>
      </c>
      <c r="H15" s="35">
        <v>0</v>
      </c>
      <c r="I15" s="34">
        <f>B15*J15</f>
        <v>0</v>
      </c>
      <c r="J15" s="35">
        <v>0</v>
      </c>
      <c r="K15" s="34">
        <f>B15*L15</f>
        <v>0</v>
      </c>
      <c r="L15" s="35">
        <v>0</v>
      </c>
      <c r="M15" s="34">
        <f>B15*N15</f>
        <v>0</v>
      </c>
      <c r="N15" s="35">
        <v>0</v>
      </c>
      <c r="O15" s="34">
        <f>B15*P15</f>
        <v>0</v>
      </c>
      <c r="P15" s="35">
        <v>0</v>
      </c>
      <c r="Q15" s="34">
        <f>B15*R15</f>
        <v>0</v>
      </c>
      <c r="R15" s="35">
        <v>0</v>
      </c>
    </row>
    <row r="16" spans="1:18" outlineLevel="1" x14ac:dyDescent="0.45">
      <c r="A16" s="3" t="str">
        <f>$A$89</f>
        <v xml:space="preserve">   Jacobo Ramirez</v>
      </c>
      <c r="B16" s="7">
        <f>$C$89</f>
        <v>133.16666666666666</v>
      </c>
      <c r="C16" s="3"/>
      <c r="D16" s="11"/>
      <c r="E16" s="34">
        <f t="shared" ref="E16:E24" si="9">B16*F16</f>
        <v>0</v>
      </c>
      <c r="F16" s="35">
        <v>0</v>
      </c>
      <c r="G16" s="34">
        <f t="shared" ref="G16:G24" si="10">B16*H16</f>
        <v>0</v>
      </c>
      <c r="H16" s="35">
        <v>0</v>
      </c>
      <c r="I16" s="34">
        <f t="shared" ref="I16:I24" si="11">B16*J16</f>
        <v>0</v>
      </c>
      <c r="J16" s="35">
        <v>0</v>
      </c>
      <c r="K16" s="34">
        <f t="shared" ref="K16:K24" si="12">B16*L16</f>
        <v>0</v>
      </c>
      <c r="L16" s="35">
        <v>0</v>
      </c>
      <c r="M16" s="34">
        <f t="shared" ref="M16:M24" si="13">B16*N16</f>
        <v>0</v>
      </c>
      <c r="N16" s="35">
        <v>0</v>
      </c>
      <c r="O16" s="34">
        <f t="shared" ref="O16:O24" si="14">B16*P16</f>
        <v>0</v>
      </c>
      <c r="P16" s="35">
        <v>0</v>
      </c>
      <c r="Q16" s="34">
        <f t="shared" ref="Q16:Q24" si="15">B16*R16</f>
        <v>0</v>
      </c>
      <c r="R16" s="35">
        <v>0</v>
      </c>
    </row>
    <row r="17" spans="1:18" outlineLevel="1" x14ac:dyDescent="0.45">
      <c r="A17" s="3" t="str">
        <f>$A$90</f>
        <v xml:space="preserve">   Boris Welzen</v>
      </c>
      <c r="B17" s="7">
        <f>$C$90</f>
        <v>133.16666666666666</v>
      </c>
      <c r="C17" s="3"/>
      <c r="D17" s="11"/>
      <c r="E17" s="34">
        <f t="shared" si="9"/>
        <v>6.6583333333333332</v>
      </c>
      <c r="F17" s="35">
        <v>0.05</v>
      </c>
      <c r="G17" s="34">
        <f t="shared" si="10"/>
        <v>6.6583333333333332</v>
      </c>
      <c r="H17" s="35">
        <v>0.05</v>
      </c>
      <c r="I17" s="34">
        <f t="shared" si="11"/>
        <v>0</v>
      </c>
      <c r="J17" s="35">
        <v>0</v>
      </c>
      <c r="K17" s="34">
        <f t="shared" si="12"/>
        <v>0</v>
      </c>
      <c r="L17" s="35">
        <v>0</v>
      </c>
      <c r="M17" s="34">
        <f t="shared" si="13"/>
        <v>0</v>
      </c>
      <c r="N17" s="35">
        <v>0</v>
      </c>
      <c r="O17" s="34">
        <f t="shared" si="14"/>
        <v>0</v>
      </c>
      <c r="P17" s="35">
        <v>0</v>
      </c>
      <c r="Q17" s="34">
        <f t="shared" si="15"/>
        <v>0</v>
      </c>
      <c r="R17" s="35">
        <v>0</v>
      </c>
    </row>
    <row r="18" spans="1:18" outlineLevel="1" x14ac:dyDescent="0.45">
      <c r="A18" s="3" t="str">
        <f>$A$91</f>
        <v xml:space="preserve">   Rutger Reij</v>
      </c>
      <c r="B18" s="7">
        <f>$C$91</f>
        <v>103.72833333333332</v>
      </c>
      <c r="C18" s="3"/>
      <c r="D18" s="11"/>
      <c r="E18" s="34">
        <f t="shared" si="9"/>
        <v>20.745666666666665</v>
      </c>
      <c r="F18" s="35">
        <v>0.2</v>
      </c>
      <c r="G18" s="34">
        <f t="shared" si="10"/>
        <v>10.372833333333332</v>
      </c>
      <c r="H18" s="35">
        <v>0.1</v>
      </c>
      <c r="I18" s="34">
        <f t="shared" si="11"/>
        <v>20.745666666666665</v>
      </c>
      <c r="J18" s="35">
        <v>0.2</v>
      </c>
      <c r="K18" s="34">
        <f t="shared" si="12"/>
        <v>5.1864166666666662</v>
      </c>
      <c r="L18" s="35">
        <v>0.05</v>
      </c>
      <c r="M18" s="34">
        <f t="shared" si="13"/>
        <v>0</v>
      </c>
      <c r="N18" s="35">
        <v>0</v>
      </c>
      <c r="O18" s="34">
        <f t="shared" si="14"/>
        <v>0</v>
      </c>
      <c r="P18" s="35">
        <v>0</v>
      </c>
      <c r="Q18" s="34">
        <f t="shared" si="15"/>
        <v>0</v>
      </c>
      <c r="R18" s="35">
        <v>0</v>
      </c>
    </row>
    <row r="19" spans="1:18" outlineLevel="1" x14ac:dyDescent="0.45">
      <c r="A19" s="3" t="str">
        <f>$A$92</f>
        <v xml:space="preserve">   Fatemeh Rashidashmagh</v>
      </c>
      <c r="B19" s="7">
        <f>$C$92</f>
        <v>133.16666666666666</v>
      </c>
      <c r="C19" s="3"/>
      <c r="D19" s="11"/>
      <c r="E19" s="34">
        <f t="shared" si="9"/>
        <v>0</v>
      </c>
      <c r="F19" s="35">
        <v>0</v>
      </c>
      <c r="G19" s="34">
        <f t="shared" si="10"/>
        <v>0</v>
      </c>
      <c r="H19" s="35">
        <v>0</v>
      </c>
      <c r="I19" s="34">
        <f t="shared" si="11"/>
        <v>0</v>
      </c>
      <c r="J19" s="35">
        <v>0</v>
      </c>
      <c r="K19" s="34">
        <f t="shared" si="12"/>
        <v>0</v>
      </c>
      <c r="L19" s="35">
        <v>0</v>
      </c>
      <c r="M19" s="34">
        <f t="shared" si="13"/>
        <v>0</v>
      </c>
      <c r="N19" s="35">
        <v>0</v>
      </c>
      <c r="O19" s="34">
        <f t="shared" si="14"/>
        <v>0</v>
      </c>
      <c r="P19" s="35">
        <v>0</v>
      </c>
      <c r="Q19" s="34">
        <f t="shared" si="15"/>
        <v>0</v>
      </c>
      <c r="R19" s="35">
        <v>0</v>
      </c>
    </row>
    <row r="20" spans="1:18" outlineLevel="1" x14ac:dyDescent="0.45">
      <c r="A20" s="3" t="str">
        <f>$A$93</f>
        <v xml:space="preserve">   William Garcia</v>
      </c>
      <c r="B20" s="7">
        <f>$C$93</f>
        <v>133.16666666666666</v>
      </c>
      <c r="C20" s="3"/>
      <c r="D20" s="11"/>
      <c r="E20" s="34">
        <f t="shared" si="9"/>
        <v>0</v>
      </c>
      <c r="F20" s="35">
        <v>0</v>
      </c>
      <c r="G20" s="34">
        <f t="shared" si="10"/>
        <v>0</v>
      </c>
      <c r="H20" s="35">
        <v>0</v>
      </c>
      <c r="I20" s="34">
        <f t="shared" si="11"/>
        <v>0</v>
      </c>
      <c r="J20" s="35">
        <v>0</v>
      </c>
      <c r="K20" s="34">
        <f t="shared" si="12"/>
        <v>0</v>
      </c>
      <c r="L20" s="35">
        <v>0</v>
      </c>
      <c r="M20" s="34">
        <f t="shared" si="13"/>
        <v>0</v>
      </c>
      <c r="N20" s="35">
        <v>0</v>
      </c>
      <c r="O20" s="34">
        <f t="shared" si="14"/>
        <v>0</v>
      </c>
      <c r="P20" s="35">
        <v>0</v>
      </c>
      <c r="Q20" s="34">
        <f t="shared" si="15"/>
        <v>0</v>
      </c>
      <c r="R20" s="35">
        <v>0</v>
      </c>
    </row>
    <row r="21" spans="1:18" outlineLevel="1" x14ac:dyDescent="0.45">
      <c r="A21" s="3" t="str">
        <f>$A$94</f>
        <v xml:space="preserve">   Ajitha Karuppiah</v>
      </c>
      <c r="B21" s="7">
        <f>$C$94</f>
        <v>133.16666666666666</v>
      </c>
      <c r="C21" s="3"/>
      <c r="D21" s="11"/>
      <c r="E21" s="34">
        <f t="shared" si="9"/>
        <v>13.316666666666666</v>
      </c>
      <c r="F21" s="35">
        <v>0.1</v>
      </c>
      <c r="G21" s="34">
        <f t="shared" si="10"/>
        <v>0</v>
      </c>
      <c r="H21" s="35">
        <v>0</v>
      </c>
      <c r="I21" s="34">
        <f t="shared" si="11"/>
        <v>0</v>
      </c>
      <c r="J21" s="35">
        <v>0</v>
      </c>
      <c r="K21" s="34">
        <f t="shared" si="12"/>
        <v>0</v>
      </c>
      <c r="L21" s="35">
        <v>0</v>
      </c>
      <c r="M21" s="34">
        <f t="shared" si="13"/>
        <v>0</v>
      </c>
      <c r="N21" s="35">
        <v>0</v>
      </c>
      <c r="O21" s="34">
        <f t="shared" si="14"/>
        <v>0</v>
      </c>
      <c r="P21" s="35">
        <v>0</v>
      </c>
      <c r="Q21" s="34">
        <f t="shared" si="15"/>
        <v>0</v>
      </c>
      <c r="R21" s="35">
        <v>0</v>
      </c>
    </row>
    <row r="22" spans="1:18" outlineLevel="1" x14ac:dyDescent="0.45">
      <c r="A22" s="3" t="str">
        <f>$A$95</f>
        <v xml:space="preserve">   Anwar Hassan</v>
      </c>
      <c r="B22" s="7">
        <f>$C$95</f>
        <v>133.16666666666666</v>
      </c>
      <c r="C22" s="3"/>
      <c r="D22" s="11"/>
      <c r="E22" s="34">
        <f t="shared" si="9"/>
        <v>0</v>
      </c>
      <c r="F22" s="35">
        <v>0</v>
      </c>
      <c r="G22" s="34">
        <f t="shared" si="10"/>
        <v>0</v>
      </c>
      <c r="H22" s="35">
        <v>0</v>
      </c>
      <c r="I22" s="34">
        <f t="shared" si="11"/>
        <v>0</v>
      </c>
      <c r="J22" s="35">
        <v>0</v>
      </c>
      <c r="K22" s="34">
        <f t="shared" si="12"/>
        <v>0</v>
      </c>
      <c r="L22" s="35">
        <v>0</v>
      </c>
      <c r="M22" s="34">
        <f t="shared" si="13"/>
        <v>0</v>
      </c>
      <c r="N22" s="35">
        <v>0</v>
      </c>
      <c r="O22" s="34">
        <f t="shared" si="14"/>
        <v>0</v>
      </c>
      <c r="P22" s="35">
        <v>0</v>
      </c>
      <c r="Q22" s="34">
        <f t="shared" si="15"/>
        <v>0</v>
      </c>
      <c r="R22" s="35">
        <v>0</v>
      </c>
    </row>
    <row r="23" spans="1:18" outlineLevel="1" x14ac:dyDescent="0.45">
      <c r="A23" s="3" t="str">
        <f>$A$96</f>
        <v xml:space="preserve">   Neville Cory</v>
      </c>
      <c r="B23" s="7">
        <f>$C$96</f>
        <v>133.16666666666666</v>
      </c>
      <c r="C23" s="3"/>
      <c r="D23" s="11"/>
      <c r="E23" s="34">
        <f t="shared" si="9"/>
        <v>13.316666666666666</v>
      </c>
      <c r="F23" s="35">
        <v>0.1</v>
      </c>
      <c r="G23" s="34">
        <f t="shared" si="10"/>
        <v>39.949999999999996</v>
      </c>
      <c r="H23" s="35">
        <v>0.3</v>
      </c>
      <c r="I23" s="34">
        <f t="shared" si="11"/>
        <v>39.949999999999996</v>
      </c>
      <c r="J23" s="35">
        <v>0.3</v>
      </c>
      <c r="K23" s="34">
        <f t="shared" si="12"/>
        <v>6.6583333333333332</v>
      </c>
      <c r="L23" s="35">
        <v>0.05</v>
      </c>
      <c r="M23" s="34">
        <f t="shared" si="13"/>
        <v>0</v>
      </c>
      <c r="N23" s="35">
        <v>0</v>
      </c>
      <c r="O23" s="34">
        <f t="shared" si="14"/>
        <v>0</v>
      </c>
      <c r="P23" s="35">
        <v>0</v>
      </c>
      <c r="Q23" s="34">
        <f t="shared" si="15"/>
        <v>0</v>
      </c>
      <c r="R23" s="35">
        <v>0</v>
      </c>
    </row>
    <row r="24" spans="1:18" ht="14.65" outlineLevel="1" thickBot="1" x14ac:dyDescent="0.5">
      <c r="A24" s="29" t="str">
        <f>$A$97</f>
        <v xml:space="preserve">   Onur Kavakli</v>
      </c>
      <c r="B24" s="30">
        <f>$C$97</f>
        <v>133.16666666666666</v>
      </c>
      <c r="C24" s="29"/>
      <c r="D24" s="31"/>
      <c r="E24" s="40">
        <f t="shared" si="9"/>
        <v>26.633333333333333</v>
      </c>
      <c r="F24" s="41">
        <v>0.2</v>
      </c>
      <c r="G24" s="40">
        <f t="shared" si="10"/>
        <v>26.633333333333333</v>
      </c>
      <c r="H24" s="41">
        <v>0.2</v>
      </c>
      <c r="I24" s="40">
        <f t="shared" si="11"/>
        <v>39.949999999999996</v>
      </c>
      <c r="J24" s="41">
        <v>0.3</v>
      </c>
      <c r="K24" s="40">
        <f t="shared" si="12"/>
        <v>6.6583333333333332</v>
      </c>
      <c r="L24" s="41">
        <v>0.05</v>
      </c>
      <c r="M24" s="40">
        <f t="shared" si="13"/>
        <v>0</v>
      </c>
      <c r="N24" s="41">
        <v>0</v>
      </c>
      <c r="O24" s="40">
        <f t="shared" si="14"/>
        <v>0</v>
      </c>
      <c r="P24" s="41">
        <v>0</v>
      </c>
      <c r="Q24" s="40">
        <f t="shared" si="15"/>
        <v>0</v>
      </c>
      <c r="R24" s="41">
        <v>0</v>
      </c>
    </row>
    <row r="25" spans="1:18" x14ac:dyDescent="0.45">
      <c r="A25" s="20" t="s">
        <v>21</v>
      </c>
      <c r="B25" s="21"/>
      <c r="C25" s="22"/>
      <c r="D25" s="23"/>
      <c r="E25" s="32">
        <f t="shared" ref="E25:R25" si="16">SUM(E26:E35)</f>
        <v>106.53333333333333</v>
      </c>
      <c r="F25" s="33">
        <f t="shared" si="16"/>
        <v>0.8</v>
      </c>
      <c r="G25" s="32">
        <f t="shared" si="16"/>
        <v>46.608333333333334</v>
      </c>
      <c r="H25" s="33">
        <f t="shared" si="16"/>
        <v>0.35</v>
      </c>
      <c r="I25" s="32">
        <f t="shared" si="16"/>
        <v>0</v>
      </c>
      <c r="J25" s="33">
        <f t="shared" si="16"/>
        <v>0</v>
      </c>
      <c r="K25" s="32">
        <f t="shared" si="16"/>
        <v>0</v>
      </c>
      <c r="L25" s="33">
        <f t="shared" si="16"/>
        <v>0</v>
      </c>
      <c r="M25" s="32">
        <f t="shared" si="16"/>
        <v>0</v>
      </c>
      <c r="N25" s="33">
        <f t="shared" si="16"/>
        <v>0</v>
      </c>
      <c r="O25" s="32">
        <f t="shared" si="16"/>
        <v>0</v>
      </c>
      <c r="P25" s="33">
        <f t="shared" si="16"/>
        <v>0</v>
      </c>
      <c r="Q25" s="32">
        <f t="shared" si="16"/>
        <v>0</v>
      </c>
      <c r="R25" s="33">
        <f t="shared" si="16"/>
        <v>0</v>
      </c>
    </row>
    <row r="26" spans="1:18" outlineLevel="1" x14ac:dyDescent="0.45">
      <c r="A26" s="24" t="str">
        <f>$A$88</f>
        <v xml:space="preserve">   Maria Alonzo</v>
      </c>
      <c r="B26" s="7">
        <f>$C$88</f>
        <v>133.16666666666666</v>
      </c>
      <c r="C26" s="3"/>
      <c r="D26" s="11"/>
      <c r="E26" s="34">
        <f>B26*F26</f>
        <v>0</v>
      </c>
      <c r="F26" s="35">
        <v>0</v>
      </c>
      <c r="G26" s="34">
        <f>B26*H26</f>
        <v>0</v>
      </c>
      <c r="H26" s="35">
        <v>0</v>
      </c>
      <c r="I26" s="34">
        <f>B26*J26</f>
        <v>0</v>
      </c>
      <c r="J26" s="35">
        <v>0</v>
      </c>
      <c r="K26" s="34">
        <f>B26*L26</f>
        <v>0</v>
      </c>
      <c r="L26" s="35">
        <v>0</v>
      </c>
      <c r="M26" s="34">
        <f>B26*N26</f>
        <v>0</v>
      </c>
      <c r="N26" s="35">
        <v>0</v>
      </c>
      <c r="O26" s="34">
        <f>B26*P26</f>
        <v>0</v>
      </c>
      <c r="P26" s="35">
        <v>0</v>
      </c>
      <c r="Q26" s="34">
        <f>B26*R26</f>
        <v>0</v>
      </c>
      <c r="R26" s="35">
        <v>0</v>
      </c>
    </row>
    <row r="27" spans="1:18" outlineLevel="1" x14ac:dyDescent="0.45">
      <c r="A27" s="24" t="str">
        <f>$A$89</f>
        <v xml:space="preserve">   Jacobo Ramirez</v>
      </c>
      <c r="B27" s="7">
        <f>$C$89</f>
        <v>133.16666666666666</v>
      </c>
      <c r="C27" s="3"/>
      <c r="D27" s="11"/>
      <c r="E27" s="34">
        <f t="shared" ref="E27:E79" si="17">B27*F27</f>
        <v>0</v>
      </c>
      <c r="F27" s="35">
        <v>0</v>
      </c>
      <c r="G27" s="34">
        <f t="shared" ref="G27:G35" si="18">B27*H27</f>
        <v>0</v>
      </c>
      <c r="H27" s="35">
        <v>0</v>
      </c>
      <c r="I27" s="34">
        <f t="shared" ref="I27:I35" si="19">B27*J27</f>
        <v>0</v>
      </c>
      <c r="J27" s="35">
        <v>0</v>
      </c>
      <c r="K27" s="34">
        <f t="shared" ref="K27:K79" si="20">B27*L27</f>
        <v>0</v>
      </c>
      <c r="L27" s="35">
        <v>0</v>
      </c>
      <c r="M27" s="34">
        <f t="shared" ref="M27:M35" si="21">B27*N27</f>
        <v>0</v>
      </c>
      <c r="N27" s="35">
        <v>0</v>
      </c>
      <c r="O27" s="34">
        <f t="shared" ref="O27:O35" si="22">B27*P27</f>
        <v>0</v>
      </c>
      <c r="P27" s="35">
        <v>0</v>
      </c>
      <c r="Q27" s="34">
        <f t="shared" ref="Q27:Q35" si="23">B27*R27</f>
        <v>0</v>
      </c>
      <c r="R27" s="35">
        <v>0</v>
      </c>
    </row>
    <row r="28" spans="1:18" outlineLevel="1" x14ac:dyDescent="0.45">
      <c r="A28" s="24" t="str">
        <f>$A$90</f>
        <v xml:space="preserve">   Boris Welzen</v>
      </c>
      <c r="B28" s="7">
        <f>$C$90</f>
        <v>133.16666666666666</v>
      </c>
      <c r="C28" s="3"/>
      <c r="D28" s="11"/>
      <c r="E28" s="34">
        <f t="shared" si="17"/>
        <v>6.6583333333333332</v>
      </c>
      <c r="F28" s="35">
        <v>0.05</v>
      </c>
      <c r="G28" s="34">
        <f t="shared" si="18"/>
        <v>6.6583333333333332</v>
      </c>
      <c r="H28" s="35">
        <v>0.05</v>
      </c>
      <c r="I28" s="34">
        <f t="shared" si="19"/>
        <v>0</v>
      </c>
      <c r="J28" s="35">
        <v>0</v>
      </c>
      <c r="K28" s="34">
        <f t="shared" si="20"/>
        <v>0</v>
      </c>
      <c r="L28" s="35">
        <v>0</v>
      </c>
      <c r="M28" s="34">
        <f t="shared" si="21"/>
        <v>0</v>
      </c>
      <c r="N28" s="35">
        <v>0</v>
      </c>
      <c r="O28" s="34">
        <f t="shared" si="22"/>
        <v>0</v>
      </c>
      <c r="P28" s="35">
        <v>0</v>
      </c>
      <c r="Q28" s="34">
        <f t="shared" si="23"/>
        <v>0</v>
      </c>
      <c r="R28" s="35">
        <v>0</v>
      </c>
    </row>
    <row r="29" spans="1:18" outlineLevel="1" x14ac:dyDescent="0.45">
      <c r="A29" s="24" t="str">
        <f>$A$91</f>
        <v xml:space="preserve">   Rutger Reij</v>
      </c>
      <c r="B29" s="7">
        <f>$C$91</f>
        <v>103.72833333333332</v>
      </c>
      <c r="C29" s="3"/>
      <c r="D29" s="11"/>
      <c r="E29" s="34">
        <f t="shared" si="17"/>
        <v>0</v>
      </c>
      <c r="F29" s="35">
        <v>0</v>
      </c>
      <c r="G29" s="34">
        <f t="shared" si="18"/>
        <v>0</v>
      </c>
      <c r="H29" s="35">
        <v>0</v>
      </c>
      <c r="I29" s="34">
        <f t="shared" si="19"/>
        <v>0</v>
      </c>
      <c r="J29" s="35">
        <v>0</v>
      </c>
      <c r="K29" s="34">
        <f t="shared" si="20"/>
        <v>0</v>
      </c>
      <c r="L29" s="35">
        <v>0</v>
      </c>
      <c r="M29" s="34">
        <f t="shared" si="21"/>
        <v>0</v>
      </c>
      <c r="N29" s="35">
        <v>0</v>
      </c>
      <c r="O29" s="34">
        <f t="shared" si="22"/>
        <v>0</v>
      </c>
      <c r="P29" s="35">
        <v>0</v>
      </c>
      <c r="Q29" s="34">
        <f t="shared" si="23"/>
        <v>0</v>
      </c>
      <c r="R29" s="35">
        <v>0</v>
      </c>
    </row>
    <row r="30" spans="1:18" outlineLevel="1" x14ac:dyDescent="0.45">
      <c r="A30" s="24" t="str">
        <f>$A$92</f>
        <v xml:space="preserve">   Fatemeh Rashidashmagh</v>
      </c>
      <c r="B30" s="7">
        <f>$C$92</f>
        <v>133.16666666666666</v>
      </c>
      <c r="C30" s="3"/>
      <c r="D30" s="11"/>
      <c r="E30" s="34">
        <f t="shared" si="17"/>
        <v>0</v>
      </c>
      <c r="F30" s="35">
        <v>0</v>
      </c>
      <c r="G30" s="34">
        <f t="shared" si="18"/>
        <v>0</v>
      </c>
      <c r="H30" s="35">
        <v>0</v>
      </c>
      <c r="I30" s="34">
        <f t="shared" si="19"/>
        <v>0</v>
      </c>
      <c r="J30" s="35">
        <v>0</v>
      </c>
      <c r="K30" s="34">
        <f t="shared" si="20"/>
        <v>0</v>
      </c>
      <c r="L30" s="35">
        <v>0</v>
      </c>
      <c r="M30" s="34">
        <f t="shared" si="21"/>
        <v>0</v>
      </c>
      <c r="N30" s="35">
        <v>0</v>
      </c>
      <c r="O30" s="34">
        <f t="shared" si="22"/>
        <v>0</v>
      </c>
      <c r="P30" s="35">
        <v>0</v>
      </c>
      <c r="Q30" s="34">
        <f t="shared" si="23"/>
        <v>0</v>
      </c>
      <c r="R30" s="35">
        <v>0</v>
      </c>
    </row>
    <row r="31" spans="1:18" outlineLevel="1" x14ac:dyDescent="0.45">
      <c r="A31" s="24" t="str">
        <f>$A$93</f>
        <v xml:space="preserve">   William Garcia</v>
      </c>
      <c r="B31" s="7">
        <f>$C$93</f>
        <v>133.16666666666666</v>
      </c>
      <c r="C31" s="3"/>
      <c r="D31" s="11"/>
      <c r="E31" s="34">
        <f t="shared" si="17"/>
        <v>0</v>
      </c>
      <c r="F31" s="35">
        <v>0</v>
      </c>
      <c r="G31" s="34">
        <f t="shared" si="18"/>
        <v>0</v>
      </c>
      <c r="H31" s="35">
        <v>0</v>
      </c>
      <c r="I31" s="34">
        <f t="shared" si="19"/>
        <v>0</v>
      </c>
      <c r="J31" s="35">
        <v>0</v>
      </c>
      <c r="K31" s="34">
        <f t="shared" si="20"/>
        <v>0</v>
      </c>
      <c r="L31" s="35">
        <v>0</v>
      </c>
      <c r="M31" s="34">
        <f t="shared" si="21"/>
        <v>0</v>
      </c>
      <c r="N31" s="35">
        <v>0</v>
      </c>
      <c r="O31" s="34">
        <f t="shared" si="22"/>
        <v>0</v>
      </c>
      <c r="P31" s="35">
        <v>0</v>
      </c>
      <c r="Q31" s="34">
        <f t="shared" si="23"/>
        <v>0</v>
      </c>
      <c r="R31" s="35">
        <v>0</v>
      </c>
    </row>
    <row r="32" spans="1:18" outlineLevel="1" x14ac:dyDescent="0.45">
      <c r="A32" s="24" t="str">
        <f>$A$94</f>
        <v xml:space="preserve">   Ajitha Karuppiah</v>
      </c>
      <c r="B32" s="7">
        <f>$C$94</f>
        <v>133.16666666666666</v>
      </c>
      <c r="C32" s="3"/>
      <c r="D32" s="11"/>
      <c r="E32" s="34">
        <f t="shared" si="17"/>
        <v>0</v>
      </c>
      <c r="F32" s="35">
        <v>0</v>
      </c>
      <c r="G32" s="34">
        <f t="shared" si="18"/>
        <v>0</v>
      </c>
      <c r="H32" s="35">
        <v>0</v>
      </c>
      <c r="I32" s="34">
        <f t="shared" si="19"/>
        <v>0</v>
      </c>
      <c r="J32" s="35">
        <v>0</v>
      </c>
      <c r="K32" s="34">
        <f t="shared" si="20"/>
        <v>0</v>
      </c>
      <c r="L32" s="35">
        <v>0</v>
      </c>
      <c r="M32" s="34">
        <f t="shared" si="21"/>
        <v>0</v>
      </c>
      <c r="N32" s="35">
        <v>0</v>
      </c>
      <c r="O32" s="34">
        <f t="shared" si="22"/>
        <v>0</v>
      </c>
      <c r="P32" s="35">
        <v>0</v>
      </c>
      <c r="Q32" s="34">
        <f t="shared" si="23"/>
        <v>0</v>
      </c>
      <c r="R32" s="35">
        <v>0</v>
      </c>
    </row>
    <row r="33" spans="1:18" outlineLevel="1" x14ac:dyDescent="0.45">
      <c r="A33" s="24" t="str">
        <f>$A$95</f>
        <v xml:space="preserve">   Anwar Hassan</v>
      </c>
      <c r="B33" s="7">
        <f>$C$95</f>
        <v>133.16666666666666</v>
      </c>
      <c r="C33" s="3"/>
      <c r="D33" s="11"/>
      <c r="E33" s="34">
        <f t="shared" si="17"/>
        <v>0</v>
      </c>
      <c r="F33" s="35">
        <v>0</v>
      </c>
      <c r="G33" s="34">
        <f t="shared" si="18"/>
        <v>0</v>
      </c>
      <c r="H33" s="35">
        <v>0</v>
      </c>
      <c r="I33" s="34">
        <f t="shared" si="19"/>
        <v>0</v>
      </c>
      <c r="J33" s="35">
        <v>0</v>
      </c>
      <c r="K33" s="34">
        <f t="shared" si="20"/>
        <v>0</v>
      </c>
      <c r="L33" s="35">
        <v>0</v>
      </c>
      <c r="M33" s="34">
        <f t="shared" si="21"/>
        <v>0</v>
      </c>
      <c r="N33" s="35">
        <v>0</v>
      </c>
      <c r="O33" s="34">
        <f t="shared" si="22"/>
        <v>0</v>
      </c>
      <c r="P33" s="35">
        <v>0</v>
      </c>
      <c r="Q33" s="34">
        <f t="shared" si="23"/>
        <v>0</v>
      </c>
      <c r="R33" s="35">
        <v>0</v>
      </c>
    </row>
    <row r="34" spans="1:18" outlineLevel="1" x14ac:dyDescent="0.45">
      <c r="A34" s="24" t="str">
        <f>$A$96</f>
        <v xml:space="preserve">   Neville Cory</v>
      </c>
      <c r="B34" s="7">
        <f>$C$96</f>
        <v>133.16666666666666</v>
      </c>
      <c r="C34" s="3"/>
      <c r="D34" s="11"/>
      <c r="E34" s="34">
        <f t="shared" si="17"/>
        <v>33.291666666666664</v>
      </c>
      <c r="F34" s="35">
        <v>0.25</v>
      </c>
      <c r="G34" s="34">
        <f t="shared" si="18"/>
        <v>6.6583333333333332</v>
      </c>
      <c r="H34" s="35">
        <v>0.05</v>
      </c>
      <c r="I34" s="34">
        <f t="shared" si="19"/>
        <v>0</v>
      </c>
      <c r="J34" s="35">
        <v>0</v>
      </c>
      <c r="K34" s="34">
        <f t="shared" si="20"/>
        <v>0</v>
      </c>
      <c r="L34" s="35">
        <v>0</v>
      </c>
      <c r="M34" s="34">
        <f t="shared" si="21"/>
        <v>0</v>
      </c>
      <c r="N34" s="35">
        <v>0</v>
      </c>
      <c r="O34" s="34">
        <f t="shared" si="22"/>
        <v>0</v>
      </c>
      <c r="P34" s="35">
        <v>0</v>
      </c>
      <c r="Q34" s="34">
        <f t="shared" si="23"/>
        <v>0</v>
      </c>
      <c r="R34" s="35">
        <v>0</v>
      </c>
    </row>
    <row r="35" spans="1:18" ht="14.65" outlineLevel="1" thickBot="1" x14ac:dyDescent="0.5">
      <c r="A35" s="25" t="str">
        <f>$A$97</f>
        <v xml:space="preserve">   Onur Kavakli</v>
      </c>
      <c r="B35" s="26">
        <f>$C$97</f>
        <v>133.16666666666666</v>
      </c>
      <c r="C35" s="27"/>
      <c r="D35" s="28"/>
      <c r="E35" s="36">
        <f t="shared" si="17"/>
        <v>66.583333333333329</v>
      </c>
      <c r="F35" s="37">
        <v>0.5</v>
      </c>
      <c r="G35" s="36">
        <f t="shared" si="18"/>
        <v>33.291666666666664</v>
      </c>
      <c r="H35" s="37">
        <v>0.25</v>
      </c>
      <c r="I35" s="36">
        <f t="shared" si="19"/>
        <v>0</v>
      </c>
      <c r="J35" s="37">
        <v>0</v>
      </c>
      <c r="K35" s="36">
        <f t="shared" si="20"/>
        <v>0</v>
      </c>
      <c r="L35" s="37">
        <v>0</v>
      </c>
      <c r="M35" s="36">
        <f t="shared" si="21"/>
        <v>0</v>
      </c>
      <c r="N35" s="37">
        <v>0</v>
      </c>
      <c r="O35" s="36">
        <f t="shared" si="22"/>
        <v>0</v>
      </c>
      <c r="P35" s="37">
        <v>0</v>
      </c>
      <c r="Q35" s="36">
        <f t="shared" si="23"/>
        <v>0</v>
      </c>
      <c r="R35" s="37">
        <v>0</v>
      </c>
    </row>
    <row r="36" spans="1:18" x14ac:dyDescent="0.45">
      <c r="A36" s="20" t="s">
        <v>58</v>
      </c>
      <c r="B36" s="21"/>
      <c r="C36" s="22"/>
      <c r="D36" s="23"/>
      <c r="E36" s="32">
        <f>SUM(E37:E46)</f>
        <v>0</v>
      </c>
      <c r="F36" s="33">
        <f>SUM(F37:F46)</f>
        <v>0</v>
      </c>
      <c r="G36" s="32">
        <f>SUM(G37:G46)</f>
        <v>0</v>
      </c>
      <c r="H36" s="33">
        <f>SUM(H37:H46)</f>
        <v>0</v>
      </c>
      <c r="I36" s="32">
        <f>SUM(I37:I46)</f>
        <v>0</v>
      </c>
      <c r="J36" s="33">
        <f>SUM(J37:J46)</f>
        <v>0</v>
      </c>
      <c r="K36" s="32">
        <f>SUM(K37:K46)</f>
        <v>0</v>
      </c>
      <c r="L36" s="33">
        <f>SUM(L37:L46)</f>
        <v>0</v>
      </c>
      <c r="M36" s="32">
        <f>SUM(M37:M46)</f>
        <v>0</v>
      </c>
      <c r="N36" s="33">
        <f>SUM(N37:N46)</f>
        <v>0</v>
      </c>
      <c r="O36" s="32">
        <f>SUM(O37:O46)</f>
        <v>0</v>
      </c>
      <c r="P36" s="33">
        <f>SUM(P37:P46)</f>
        <v>0</v>
      </c>
      <c r="Q36" s="32">
        <f>SUM(Q37:Q46)</f>
        <v>0</v>
      </c>
      <c r="R36" s="33">
        <f>SUM(R37:R46)</f>
        <v>0</v>
      </c>
    </row>
    <row r="37" spans="1:18" outlineLevel="1" x14ac:dyDescent="0.45">
      <c r="A37" s="24" t="str">
        <f>$A$88</f>
        <v xml:space="preserve">   Maria Alonzo</v>
      </c>
      <c r="B37" s="7">
        <f>$C$88</f>
        <v>133.16666666666666</v>
      </c>
      <c r="C37" s="3"/>
      <c r="D37" s="11"/>
      <c r="E37" s="34">
        <f t="shared" si="17"/>
        <v>0</v>
      </c>
      <c r="F37" s="35">
        <v>0</v>
      </c>
      <c r="G37" s="34">
        <f>B37*H37</f>
        <v>0</v>
      </c>
      <c r="H37" s="35"/>
      <c r="I37" s="34">
        <f>B37*J37</f>
        <v>0</v>
      </c>
      <c r="J37" s="35"/>
      <c r="K37" s="34">
        <f>B37*L37</f>
        <v>0</v>
      </c>
      <c r="L37" s="35"/>
      <c r="M37" s="34">
        <f>B37*N37</f>
        <v>0</v>
      </c>
      <c r="N37" s="35"/>
      <c r="O37" s="34">
        <f>B37*P37</f>
        <v>0</v>
      </c>
      <c r="P37" s="35"/>
      <c r="Q37" s="34">
        <f>B37*R37</f>
        <v>0</v>
      </c>
      <c r="R37" s="35"/>
    </row>
    <row r="38" spans="1:18" outlineLevel="1" x14ac:dyDescent="0.45">
      <c r="A38" s="24" t="str">
        <f>$A$89</f>
        <v xml:space="preserve">   Jacobo Ramirez</v>
      </c>
      <c r="B38" s="7">
        <f>$C$89</f>
        <v>133.16666666666666</v>
      </c>
      <c r="C38" s="3"/>
      <c r="D38" s="11"/>
      <c r="E38" s="34">
        <f t="shared" si="17"/>
        <v>0</v>
      </c>
      <c r="F38" s="35">
        <v>0</v>
      </c>
      <c r="G38" s="34">
        <f t="shared" ref="G38:G46" si="24">B38*H38</f>
        <v>0</v>
      </c>
      <c r="H38" s="35"/>
      <c r="I38" s="34">
        <f t="shared" ref="I38:I46" si="25">B38*J38</f>
        <v>0</v>
      </c>
      <c r="J38" s="35"/>
      <c r="K38" s="34">
        <f t="shared" ref="K38:K46" si="26">B38*L38</f>
        <v>0</v>
      </c>
      <c r="L38" s="35"/>
      <c r="M38" s="34">
        <f t="shared" ref="M38:M46" si="27">B38*N38</f>
        <v>0</v>
      </c>
      <c r="N38" s="35"/>
      <c r="O38" s="34">
        <f t="shared" ref="O38:O46" si="28">B38*P38</f>
        <v>0</v>
      </c>
      <c r="P38" s="35"/>
      <c r="Q38" s="34">
        <f t="shared" ref="Q38:Q46" si="29">B38*R38</f>
        <v>0</v>
      </c>
      <c r="R38" s="35"/>
    </row>
    <row r="39" spans="1:18" outlineLevel="1" x14ac:dyDescent="0.45">
      <c r="A39" s="24" t="str">
        <f>$A$90</f>
        <v xml:space="preserve">   Boris Welzen</v>
      </c>
      <c r="B39" s="7">
        <f>$C$90</f>
        <v>133.16666666666666</v>
      </c>
      <c r="C39" s="3"/>
      <c r="D39" s="11"/>
      <c r="E39" s="34">
        <f t="shared" si="17"/>
        <v>0</v>
      </c>
      <c r="F39" s="35">
        <v>0</v>
      </c>
      <c r="G39" s="34">
        <f t="shared" si="24"/>
        <v>0</v>
      </c>
      <c r="H39" s="35"/>
      <c r="I39" s="34">
        <f t="shared" si="25"/>
        <v>0</v>
      </c>
      <c r="J39" s="35"/>
      <c r="K39" s="34">
        <f t="shared" si="26"/>
        <v>0</v>
      </c>
      <c r="L39" s="35"/>
      <c r="M39" s="34">
        <f t="shared" si="27"/>
        <v>0</v>
      </c>
      <c r="N39" s="35"/>
      <c r="O39" s="34">
        <f t="shared" si="28"/>
        <v>0</v>
      </c>
      <c r="P39" s="35"/>
      <c r="Q39" s="34">
        <f t="shared" si="29"/>
        <v>0</v>
      </c>
      <c r="R39" s="35"/>
    </row>
    <row r="40" spans="1:18" outlineLevel="1" x14ac:dyDescent="0.45">
      <c r="A40" s="24" t="str">
        <f>$A$91</f>
        <v xml:space="preserve">   Rutger Reij</v>
      </c>
      <c r="B40" s="7">
        <f>$C$91</f>
        <v>103.72833333333332</v>
      </c>
      <c r="C40" s="3"/>
      <c r="D40" s="11"/>
      <c r="E40" s="34">
        <f t="shared" si="17"/>
        <v>0</v>
      </c>
      <c r="F40" s="35">
        <v>0</v>
      </c>
      <c r="G40" s="34">
        <f t="shared" si="24"/>
        <v>0</v>
      </c>
      <c r="H40" s="35"/>
      <c r="I40" s="34">
        <f t="shared" si="25"/>
        <v>0</v>
      </c>
      <c r="J40" s="35"/>
      <c r="K40" s="34">
        <f t="shared" si="26"/>
        <v>0</v>
      </c>
      <c r="L40" s="35"/>
      <c r="M40" s="34">
        <f t="shared" si="27"/>
        <v>0</v>
      </c>
      <c r="N40" s="35"/>
      <c r="O40" s="34">
        <f t="shared" si="28"/>
        <v>0</v>
      </c>
      <c r="P40" s="35"/>
      <c r="Q40" s="34">
        <f t="shared" si="29"/>
        <v>0</v>
      </c>
      <c r="R40" s="35"/>
    </row>
    <row r="41" spans="1:18" outlineLevel="1" x14ac:dyDescent="0.45">
      <c r="A41" s="24" t="str">
        <f>$A$92</f>
        <v xml:space="preserve">   Fatemeh Rashidashmagh</v>
      </c>
      <c r="B41" s="7">
        <f>$C$92</f>
        <v>133.16666666666666</v>
      </c>
      <c r="C41" s="3"/>
      <c r="D41" s="11"/>
      <c r="E41" s="34">
        <f t="shared" si="17"/>
        <v>0</v>
      </c>
      <c r="F41" s="35">
        <v>0</v>
      </c>
      <c r="G41" s="34">
        <f t="shared" si="24"/>
        <v>0</v>
      </c>
      <c r="H41" s="35"/>
      <c r="I41" s="34">
        <f t="shared" si="25"/>
        <v>0</v>
      </c>
      <c r="J41" s="35"/>
      <c r="K41" s="34">
        <f t="shared" si="26"/>
        <v>0</v>
      </c>
      <c r="L41" s="35"/>
      <c r="M41" s="34">
        <f t="shared" si="27"/>
        <v>0</v>
      </c>
      <c r="N41" s="35"/>
      <c r="O41" s="34">
        <f t="shared" si="28"/>
        <v>0</v>
      </c>
      <c r="P41" s="35"/>
      <c r="Q41" s="34">
        <f t="shared" si="29"/>
        <v>0</v>
      </c>
      <c r="R41" s="35"/>
    </row>
    <row r="42" spans="1:18" outlineLevel="1" x14ac:dyDescent="0.45">
      <c r="A42" s="24" t="str">
        <f>$A$93</f>
        <v xml:space="preserve">   William Garcia</v>
      </c>
      <c r="B42" s="7">
        <f>$C$93</f>
        <v>133.16666666666666</v>
      </c>
      <c r="C42" s="3"/>
      <c r="D42" s="11"/>
      <c r="E42" s="34">
        <f t="shared" si="17"/>
        <v>0</v>
      </c>
      <c r="F42" s="35">
        <v>0</v>
      </c>
      <c r="G42" s="34">
        <f t="shared" si="24"/>
        <v>0</v>
      </c>
      <c r="H42" s="35"/>
      <c r="I42" s="34">
        <f t="shared" si="25"/>
        <v>0</v>
      </c>
      <c r="J42" s="35"/>
      <c r="K42" s="34">
        <f t="shared" si="26"/>
        <v>0</v>
      </c>
      <c r="L42" s="35"/>
      <c r="M42" s="34">
        <f t="shared" si="27"/>
        <v>0</v>
      </c>
      <c r="N42" s="35"/>
      <c r="O42" s="34">
        <f t="shared" si="28"/>
        <v>0</v>
      </c>
      <c r="P42" s="35"/>
      <c r="Q42" s="34">
        <f t="shared" si="29"/>
        <v>0</v>
      </c>
      <c r="R42" s="35"/>
    </row>
    <row r="43" spans="1:18" outlineLevel="1" x14ac:dyDescent="0.45">
      <c r="A43" s="24" t="str">
        <f>$A$94</f>
        <v xml:space="preserve">   Ajitha Karuppiah</v>
      </c>
      <c r="B43" s="7">
        <f>$C$94</f>
        <v>133.16666666666666</v>
      </c>
      <c r="C43" s="3"/>
      <c r="D43" s="11"/>
      <c r="E43" s="34">
        <f t="shared" si="17"/>
        <v>0</v>
      </c>
      <c r="F43" s="35">
        <v>0</v>
      </c>
      <c r="G43" s="34">
        <f t="shared" si="24"/>
        <v>0</v>
      </c>
      <c r="H43" s="35"/>
      <c r="I43" s="34">
        <f t="shared" si="25"/>
        <v>0</v>
      </c>
      <c r="J43" s="35"/>
      <c r="K43" s="34">
        <f t="shared" si="26"/>
        <v>0</v>
      </c>
      <c r="L43" s="35"/>
      <c r="M43" s="34">
        <f t="shared" si="27"/>
        <v>0</v>
      </c>
      <c r="N43" s="35"/>
      <c r="O43" s="34">
        <f t="shared" si="28"/>
        <v>0</v>
      </c>
      <c r="P43" s="35"/>
      <c r="Q43" s="34">
        <f t="shared" si="29"/>
        <v>0</v>
      </c>
      <c r="R43" s="35"/>
    </row>
    <row r="44" spans="1:18" outlineLevel="1" x14ac:dyDescent="0.45">
      <c r="A44" s="24" t="str">
        <f>$A$95</f>
        <v xml:space="preserve">   Anwar Hassan</v>
      </c>
      <c r="B44" s="7">
        <f>$C$95</f>
        <v>133.16666666666666</v>
      </c>
      <c r="C44" s="3"/>
      <c r="D44" s="11"/>
      <c r="E44" s="34">
        <f t="shared" si="17"/>
        <v>0</v>
      </c>
      <c r="F44" s="35">
        <v>0</v>
      </c>
      <c r="G44" s="34">
        <f t="shared" si="24"/>
        <v>0</v>
      </c>
      <c r="H44" s="35"/>
      <c r="I44" s="34">
        <f t="shared" si="25"/>
        <v>0</v>
      </c>
      <c r="J44" s="35"/>
      <c r="K44" s="34">
        <f t="shared" si="26"/>
        <v>0</v>
      </c>
      <c r="L44" s="35"/>
      <c r="M44" s="34">
        <f t="shared" si="27"/>
        <v>0</v>
      </c>
      <c r="N44" s="35"/>
      <c r="O44" s="34">
        <f t="shared" si="28"/>
        <v>0</v>
      </c>
      <c r="P44" s="35"/>
      <c r="Q44" s="34">
        <f t="shared" si="29"/>
        <v>0</v>
      </c>
      <c r="R44" s="35"/>
    </row>
    <row r="45" spans="1:18" outlineLevel="1" x14ac:dyDescent="0.45">
      <c r="A45" s="24" t="str">
        <f>$A$96</f>
        <v xml:space="preserve">   Neville Cory</v>
      </c>
      <c r="B45" s="7">
        <f>$C$96</f>
        <v>133.16666666666666</v>
      </c>
      <c r="C45" s="3"/>
      <c r="D45" s="11"/>
      <c r="E45" s="34">
        <f t="shared" si="17"/>
        <v>0</v>
      </c>
      <c r="F45" s="35">
        <v>0</v>
      </c>
      <c r="G45" s="34">
        <f t="shared" si="24"/>
        <v>0</v>
      </c>
      <c r="H45" s="35"/>
      <c r="I45" s="34">
        <f t="shared" si="25"/>
        <v>0</v>
      </c>
      <c r="J45" s="35"/>
      <c r="K45" s="34">
        <f t="shared" si="26"/>
        <v>0</v>
      </c>
      <c r="L45" s="35"/>
      <c r="M45" s="34">
        <f t="shared" si="27"/>
        <v>0</v>
      </c>
      <c r="N45" s="35"/>
      <c r="O45" s="34">
        <f t="shared" si="28"/>
        <v>0</v>
      </c>
      <c r="P45" s="35"/>
      <c r="Q45" s="34">
        <f t="shared" si="29"/>
        <v>0</v>
      </c>
      <c r="R45" s="35"/>
    </row>
    <row r="46" spans="1:18" ht="14.65" outlineLevel="1" thickBot="1" x14ac:dyDescent="0.5">
      <c r="A46" s="25" t="str">
        <f>$A$97</f>
        <v xml:space="preserve">   Onur Kavakli</v>
      </c>
      <c r="B46" s="26">
        <f>$C$97</f>
        <v>133.16666666666666</v>
      </c>
      <c r="C46" s="27"/>
      <c r="D46" s="28"/>
      <c r="E46" s="36">
        <f t="shared" si="17"/>
        <v>0</v>
      </c>
      <c r="F46" s="37">
        <v>0</v>
      </c>
      <c r="G46" s="36">
        <f t="shared" si="24"/>
        <v>0</v>
      </c>
      <c r="H46" s="37"/>
      <c r="I46" s="36">
        <f t="shared" si="25"/>
        <v>0</v>
      </c>
      <c r="J46" s="37"/>
      <c r="K46" s="36">
        <f t="shared" si="26"/>
        <v>0</v>
      </c>
      <c r="L46" s="37"/>
      <c r="M46" s="36">
        <f t="shared" si="27"/>
        <v>0</v>
      </c>
      <c r="N46" s="37"/>
      <c r="O46" s="36">
        <f t="shared" si="28"/>
        <v>0</v>
      </c>
      <c r="P46" s="37"/>
      <c r="Q46" s="36">
        <f t="shared" si="29"/>
        <v>0</v>
      </c>
      <c r="R46" s="37"/>
    </row>
    <row r="47" spans="1:18" x14ac:dyDescent="0.45">
      <c r="A47" s="20" t="s">
        <v>59</v>
      </c>
      <c r="B47" s="21"/>
      <c r="C47" s="22"/>
      <c r="D47" s="23"/>
      <c r="E47" s="32">
        <f t="shared" ref="E47:R62" si="30">SUM(E48:E57)</f>
        <v>426.13333333333327</v>
      </c>
      <c r="F47" s="33">
        <f t="shared" si="30"/>
        <v>3.1999999999999997</v>
      </c>
      <c r="G47" s="32">
        <f t="shared" si="30"/>
        <v>439.44999999999993</v>
      </c>
      <c r="H47" s="33">
        <f t="shared" si="30"/>
        <v>3.3000000000000003</v>
      </c>
      <c r="I47" s="32">
        <f t="shared" si="30"/>
        <v>359.54999999999995</v>
      </c>
      <c r="J47" s="33">
        <f t="shared" si="30"/>
        <v>2.6999999999999997</v>
      </c>
      <c r="K47" s="32">
        <f t="shared" si="30"/>
        <v>159.79999999999998</v>
      </c>
      <c r="L47" s="33">
        <f t="shared" si="30"/>
        <v>1.2</v>
      </c>
      <c r="M47" s="32">
        <f t="shared" si="30"/>
        <v>113.19166666666666</v>
      </c>
      <c r="N47" s="33">
        <f t="shared" si="30"/>
        <v>0.85000000000000009</v>
      </c>
      <c r="O47" s="32">
        <f t="shared" si="30"/>
        <v>99.875</v>
      </c>
      <c r="P47" s="33">
        <f t="shared" si="30"/>
        <v>0.75</v>
      </c>
      <c r="Q47" s="32">
        <f t="shared" si="30"/>
        <v>126.50833333333333</v>
      </c>
      <c r="R47" s="33">
        <f t="shared" si="30"/>
        <v>0.95</v>
      </c>
    </row>
    <row r="48" spans="1:18" outlineLevel="1" x14ac:dyDescent="0.45">
      <c r="A48" s="24" t="str">
        <f>$A$88</f>
        <v xml:space="preserve">   Maria Alonzo</v>
      </c>
      <c r="B48" s="7">
        <f>$C$88</f>
        <v>133.16666666666666</v>
      </c>
      <c r="C48" s="3"/>
      <c r="D48" s="11"/>
      <c r="E48" s="34">
        <f t="shared" si="17"/>
        <v>0</v>
      </c>
      <c r="F48" s="35">
        <v>0</v>
      </c>
      <c r="G48" s="34">
        <f>B48*H48</f>
        <v>0</v>
      </c>
      <c r="H48" s="35">
        <v>0</v>
      </c>
      <c r="I48" s="34">
        <f>B48*J48</f>
        <v>0</v>
      </c>
      <c r="J48" s="35">
        <v>0</v>
      </c>
      <c r="K48" s="34">
        <f>B48*L48</f>
        <v>0</v>
      </c>
      <c r="L48" s="35">
        <v>0</v>
      </c>
      <c r="M48" s="34">
        <f>B48*N48</f>
        <v>0</v>
      </c>
      <c r="N48" s="35">
        <v>0</v>
      </c>
      <c r="O48" s="34">
        <f>B48*P48</f>
        <v>0</v>
      </c>
      <c r="P48" s="35">
        <v>0</v>
      </c>
      <c r="Q48" s="34">
        <f>B48*R48</f>
        <v>0</v>
      </c>
      <c r="R48" s="35">
        <v>0</v>
      </c>
    </row>
    <row r="49" spans="1:18" outlineLevel="1" x14ac:dyDescent="0.45">
      <c r="A49" s="24" t="str">
        <f>$A$89</f>
        <v xml:space="preserve">   Jacobo Ramirez</v>
      </c>
      <c r="B49" s="7">
        <f>$C$89</f>
        <v>133.16666666666666</v>
      </c>
      <c r="C49" s="3"/>
      <c r="D49" s="11"/>
      <c r="E49" s="34">
        <f t="shared" si="17"/>
        <v>0</v>
      </c>
      <c r="F49" s="35">
        <v>0</v>
      </c>
      <c r="G49" s="34">
        <f t="shared" ref="G49:G57" si="31">B49*H49</f>
        <v>0</v>
      </c>
      <c r="H49" s="35">
        <v>0</v>
      </c>
      <c r="I49" s="34">
        <f t="shared" ref="I49:I57" si="32">B49*J49</f>
        <v>0</v>
      </c>
      <c r="J49" s="35">
        <v>0</v>
      </c>
      <c r="K49" s="34">
        <f t="shared" ref="K49:K57" si="33">B49*L49</f>
        <v>0</v>
      </c>
      <c r="L49" s="35">
        <v>0</v>
      </c>
      <c r="M49" s="34">
        <f t="shared" ref="M49:M57" si="34">B49*N49</f>
        <v>0</v>
      </c>
      <c r="N49" s="35">
        <v>0</v>
      </c>
      <c r="O49" s="34">
        <f t="shared" ref="O49:O57" si="35">B49*P49</f>
        <v>0</v>
      </c>
      <c r="P49" s="35">
        <v>0</v>
      </c>
      <c r="Q49" s="34">
        <f t="shared" ref="Q49:Q57" si="36">B49*R49</f>
        <v>0</v>
      </c>
      <c r="R49" s="35">
        <v>0</v>
      </c>
    </row>
    <row r="50" spans="1:18" outlineLevel="1" x14ac:dyDescent="0.45">
      <c r="A50" s="24" t="str">
        <f>$A$90</f>
        <v xml:space="preserve">   Boris Welzen</v>
      </c>
      <c r="B50" s="7">
        <f>$C$90</f>
        <v>133.16666666666666</v>
      </c>
      <c r="C50" s="3"/>
      <c r="D50" s="11"/>
      <c r="E50" s="34">
        <f t="shared" si="17"/>
        <v>53.266666666666666</v>
      </c>
      <c r="F50" s="35">
        <v>0.4</v>
      </c>
      <c r="G50" s="34">
        <f t="shared" si="31"/>
        <v>66.583333333333329</v>
      </c>
      <c r="H50" s="35">
        <v>0.5</v>
      </c>
      <c r="I50" s="34">
        <f t="shared" si="32"/>
        <v>66.583333333333329</v>
      </c>
      <c r="J50" s="35">
        <v>0.5</v>
      </c>
      <c r="K50" s="34">
        <f t="shared" si="33"/>
        <v>39.949999999999996</v>
      </c>
      <c r="L50" s="35">
        <v>0.3</v>
      </c>
      <c r="M50" s="34">
        <f t="shared" si="34"/>
        <v>39.949999999999996</v>
      </c>
      <c r="N50" s="35">
        <v>0.3</v>
      </c>
      <c r="O50" s="34">
        <f t="shared" si="35"/>
        <v>39.949999999999996</v>
      </c>
      <c r="P50" s="35">
        <v>0.3</v>
      </c>
      <c r="Q50" s="34">
        <f t="shared" si="36"/>
        <v>39.949999999999996</v>
      </c>
      <c r="R50" s="35">
        <v>0.3</v>
      </c>
    </row>
    <row r="51" spans="1:18" outlineLevel="1" x14ac:dyDescent="0.45">
      <c r="A51" s="24" t="str">
        <f>$A$91</f>
        <v xml:space="preserve">   Rutger Reij</v>
      </c>
      <c r="B51" s="7">
        <f>$C$91</f>
        <v>103.72833333333332</v>
      </c>
      <c r="C51" s="3"/>
      <c r="D51" s="11"/>
      <c r="E51" s="34">
        <f t="shared" si="17"/>
        <v>0</v>
      </c>
      <c r="F51" s="35">
        <v>0</v>
      </c>
      <c r="G51" s="34">
        <f t="shared" si="31"/>
        <v>0</v>
      </c>
      <c r="H51" s="35">
        <v>0</v>
      </c>
      <c r="I51" s="34">
        <f t="shared" si="32"/>
        <v>0</v>
      </c>
      <c r="J51" s="35">
        <v>0</v>
      </c>
      <c r="K51" s="34">
        <f t="shared" si="33"/>
        <v>0</v>
      </c>
      <c r="L51" s="35">
        <v>0</v>
      </c>
      <c r="M51" s="34">
        <f t="shared" si="34"/>
        <v>0</v>
      </c>
      <c r="N51" s="35">
        <v>0</v>
      </c>
      <c r="O51" s="34">
        <f t="shared" si="35"/>
        <v>0</v>
      </c>
      <c r="P51" s="35">
        <v>0</v>
      </c>
      <c r="Q51" s="34">
        <f t="shared" si="36"/>
        <v>0</v>
      </c>
      <c r="R51" s="35">
        <v>0</v>
      </c>
    </row>
    <row r="52" spans="1:18" outlineLevel="1" x14ac:dyDescent="0.45">
      <c r="A52" s="24" t="str">
        <f>$A$92</f>
        <v xml:space="preserve">   Fatemeh Rashidashmagh</v>
      </c>
      <c r="B52" s="7">
        <f>$C$92</f>
        <v>133.16666666666666</v>
      </c>
      <c r="C52" s="3"/>
      <c r="D52" s="11"/>
      <c r="E52" s="34">
        <f t="shared" si="17"/>
        <v>66.583333333333329</v>
      </c>
      <c r="F52" s="35">
        <v>0.5</v>
      </c>
      <c r="G52" s="34">
        <f t="shared" si="31"/>
        <v>66.583333333333329</v>
      </c>
      <c r="H52" s="35">
        <v>0.5</v>
      </c>
      <c r="I52" s="34">
        <f t="shared" si="32"/>
        <v>66.583333333333329</v>
      </c>
      <c r="J52" s="35">
        <v>0.5</v>
      </c>
      <c r="K52" s="34">
        <f t="shared" si="33"/>
        <v>26.633333333333333</v>
      </c>
      <c r="L52" s="35">
        <v>0.2</v>
      </c>
      <c r="M52" s="34">
        <f t="shared" si="34"/>
        <v>13.316666666666666</v>
      </c>
      <c r="N52" s="35">
        <v>0.1</v>
      </c>
      <c r="O52" s="34">
        <f t="shared" si="35"/>
        <v>6.6583333333333332</v>
      </c>
      <c r="P52" s="35">
        <v>0.05</v>
      </c>
      <c r="Q52" s="34">
        <f t="shared" si="36"/>
        <v>19.974999999999998</v>
      </c>
      <c r="R52" s="35">
        <v>0.15</v>
      </c>
    </row>
    <row r="53" spans="1:18" outlineLevel="1" x14ac:dyDescent="0.45">
      <c r="A53" s="24" t="str">
        <f>$A$93</f>
        <v xml:space="preserve">   William Garcia</v>
      </c>
      <c r="B53" s="7">
        <f>$C$93</f>
        <v>133.16666666666666</v>
      </c>
      <c r="C53" s="3"/>
      <c r="D53" s="11"/>
      <c r="E53" s="34">
        <f t="shared" si="17"/>
        <v>66.583333333333329</v>
      </c>
      <c r="F53" s="35">
        <v>0.5</v>
      </c>
      <c r="G53" s="34">
        <f t="shared" si="31"/>
        <v>66.583333333333329</v>
      </c>
      <c r="H53" s="35">
        <v>0.5</v>
      </c>
      <c r="I53" s="34">
        <f t="shared" si="32"/>
        <v>66.583333333333329</v>
      </c>
      <c r="J53" s="35">
        <v>0.5</v>
      </c>
      <c r="K53" s="34">
        <f t="shared" si="33"/>
        <v>26.633333333333333</v>
      </c>
      <c r="L53" s="35">
        <v>0.2</v>
      </c>
      <c r="M53" s="34">
        <f t="shared" si="34"/>
        <v>13.316666666666666</v>
      </c>
      <c r="N53" s="35">
        <v>0.1</v>
      </c>
      <c r="O53" s="34">
        <f t="shared" si="35"/>
        <v>6.6583333333333332</v>
      </c>
      <c r="P53" s="35">
        <v>0.05</v>
      </c>
      <c r="Q53" s="34">
        <f t="shared" si="36"/>
        <v>19.974999999999998</v>
      </c>
      <c r="R53" s="35">
        <v>0.15</v>
      </c>
    </row>
    <row r="54" spans="1:18" outlineLevel="1" x14ac:dyDescent="0.45">
      <c r="A54" s="24" t="str">
        <f>$A$94</f>
        <v xml:space="preserve">   Ajitha Karuppiah</v>
      </c>
      <c r="B54" s="7">
        <f>$C$94</f>
        <v>133.16666666666666</v>
      </c>
      <c r="C54" s="3"/>
      <c r="D54" s="11"/>
      <c r="E54" s="34">
        <f t="shared" si="17"/>
        <v>93.216666666666654</v>
      </c>
      <c r="F54" s="35">
        <v>0.7</v>
      </c>
      <c r="G54" s="34">
        <f t="shared" si="31"/>
        <v>93.216666666666654</v>
      </c>
      <c r="H54" s="35">
        <v>0.7</v>
      </c>
      <c r="I54" s="34">
        <f t="shared" si="32"/>
        <v>39.949999999999996</v>
      </c>
      <c r="J54" s="35">
        <v>0.3</v>
      </c>
      <c r="K54" s="34">
        <f t="shared" si="33"/>
        <v>13.316666666666666</v>
      </c>
      <c r="L54" s="35">
        <v>0.1</v>
      </c>
      <c r="M54" s="34">
        <f t="shared" si="34"/>
        <v>0</v>
      </c>
      <c r="N54" s="35">
        <v>0</v>
      </c>
      <c r="O54" s="34">
        <f t="shared" si="35"/>
        <v>0</v>
      </c>
      <c r="P54" s="35">
        <v>0</v>
      </c>
      <c r="Q54" s="34">
        <f t="shared" si="36"/>
        <v>0</v>
      </c>
      <c r="R54" s="35">
        <v>0</v>
      </c>
    </row>
    <row r="55" spans="1:18" outlineLevel="1" x14ac:dyDescent="0.45">
      <c r="A55" s="24" t="str">
        <f>$A$95</f>
        <v xml:space="preserve">   Anwar Hassan</v>
      </c>
      <c r="B55" s="7">
        <f>$C$95</f>
        <v>133.16666666666666</v>
      </c>
      <c r="C55" s="3"/>
      <c r="D55" s="11"/>
      <c r="E55" s="34">
        <f t="shared" si="17"/>
        <v>93.216666666666654</v>
      </c>
      <c r="F55" s="35">
        <v>0.7</v>
      </c>
      <c r="G55" s="34">
        <f t="shared" si="31"/>
        <v>93.216666666666654</v>
      </c>
      <c r="H55" s="35">
        <v>0.7</v>
      </c>
      <c r="I55" s="34">
        <f t="shared" si="32"/>
        <v>66.583333333333329</v>
      </c>
      <c r="J55" s="35">
        <v>0.5</v>
      </c>
      <c r="K55" s="34">
        <f t="shared" si="33"/>
        <v>26.633333333333333</v>
      </c>
      <c r="L55" s="35">
        <v>0.2</v>
      </c>
      <c r="M55" s="34">
        <f t="shared" si="34"/>
        <v>19.974999999999998</v>
      </c>
      <c r="N55" s="35">
        <v>0.15</v>
      </c>
      <c r="O55" s="34">
        <f t="shared" si="35"/>
        <v>19.974999999999998</v>
      </c>
      <c r="P55" s="35">
        <v>0.15</v>
      </c>
      <c r="Q55" s="34">
        <f t="shared" si="36"/>
        <v>19.974999999999998</v>
      </c>
      <c r="R55" s="35">
        <v>0.15</v>
      </c>
    </row>
    <row r="56" spans="1:18" outlineLevel="1" x14ac:dyDescent="0.45">
      <c r="A56" s="24" t="str">
        <f>$A$96</f>
        <v xml:space="preserve">   Neville Cory</v>
      </c>
      <c r="B56" s="7">
        <f>$C$96</f>
        <v>133.16666666666666</v>
      </c>
      <c r="C56" s="3"/>
      <c r="D56" s="11"/>
      <c r="E56" s="34">
        <f t="shared" si="17"/>
        <v>0</v>
      </c>
      <c r="F56" s="35">
        <v>0</v>
      </c>
      <c r="G56" s="34">
        <f t="shared" si="31"/>
        <v>0</v>
      </c>
      <c r="H56" s="35">
        <v>0</v>
      </c>
      <c r="I56" s="34">
        <f t="shared" si="32"/>
        <v>0</v>
      </c>
      <c r="J56" s="35">
        <v>0</v>
      </c>
      <c r="K56" s="34">
        <f t="shared" si="33"/>
        <v>0</v>
      </c>
      <c r="L56" s="35">
        <v>0</v>
      </c>
      <c r="M56" s="34">
        <f t="shared" si="34"/>
        <v>0</v>
      </c>
      <c r="N56" s="35">
        <v>0</v>
      </c>
      <c r="O56" s="34">
        <f t="shared" si="35"/>
        <v>0</v>
      </c>
      <c r="P56" s="35">
        <v>0</v>
      </c>
      <c r="Q56" s="34">
        <f t="shared" si="36"/>
        <v>0</v>
      </c>
      <c r="R56" s="35">
        <v>0</v>
      </c>
    </row>
    <row r="57" spans="1:18" ht="14.65" outlineLevel="1" thickBot="1" x14ac:dyDescent="0.5">
      <c r="A57" s="25" t="str">
        <f>$A$97</f>
        <v xml:space="preserve">   Onur Kavakli</v>
      </c>
      <c r="B57" s="26">
        <f>$C$97</f>
        <v>133.16666666666666</v>
      </c>
      <c r="C57" s="27"/>
      <c r="D57" s="28"/>
      <c r="E57" s="36">
        <f t="shared" si="17"/>
        <v>53.266666666666666</v>
      </c>
      <c r="F57" s="37">
        <v>0.4</v>
      </c>
      <c r="G57" s="36">
        <f t="shared" si="31"/>
        <v>53.266666666666666</v>
      </c>
      <c r="H57" s="37">
        <v>0.4</v>
      </c>
      <c r="I57" s="36">
        <f t="shared" si="32"/>
        <v>53.266666666666666</v>
      </c>
      <c r="J57" s="37">
        <v>0.4</v>
      </c>
      <c r="K57" s="36">
        <f t="shared" si="33"/>
        <v>26.633333333333333</v>
      </c>
      <c r="L57" s="37">
        <v>0.2</v>
      </c>
      <c r="M57" s="36">
        <f t="shared" si="34"/>
        <v>26.633333333333333</v>
      </c>
      <c r="N57" s="37">
        <v>0.2</v>
      </c>
      <c r="O57" s="36">
        <f t="shared" si="35"/>
        <v>26.633333333333333</v>
      </c>
      <c r="P57" s="37">
        <v>0.2</v>
      </c>
      <c r="Q57" s="36">
        <f t="shared" si="36"/>
        <v>26.633333333333333</v>
      </c>
      <c r="R57" s="37">
        <v>0.2</v>
      </c>
    </row>
    <row r="58" spans="1:18" x14ac:dyDescent="0.45">
      <c r="A58" s="20" t="s">
        <v>60</v>
      </c>
      <c r="B58" s="21"/>
      <c r="C58" s="22"/>
      <c r="D58" s="23"/>
      <c r="E58" s="32">
        <f>SUM(E59:E68)</f>
        <v>346.23333333333329</v>
      </c>
      <c r="F58" s="33">
        <f>SUM(F59:F68)</f>
        <v>2.6</v>
      </c>
      <c r="G58" s="32">
        <f>SUM(G59:G68)</f>
        <v>359.54999999999995</v>
      </c>
      <c r="H58" s="33">
        <f>SUM(H59:H68)</f>
        <v>2.7</v>
      </c>
      <c r="I58" s="32">
        <f>SUM(I59:I68)</f>
        <v>372.86666666666662</v>
      </c>
      <c r="J58" s="33">
        <f>SUM(J59:J68)</f>
        <v>2.8000000000000003</v>
      </c>
      <c r="K58" s="32">
        <f>SUM(K59:K68)</f>
        <v>386.18333333333328</v>
      </c>
      <c r="L58" s="33">
        <f>SUM(L59:L68)</f>
        <v>2.9</v>
      </c>
      <c r="M58" s="32">
        <f>SUM(M59:M68)</f>
        <v>386.18333333333328</v>
      </c>
      <c r="N58" s="33">
        <f>SUM(N59:N68)</f>
        <v>2.9</v>
      </c>
      <c r="O58" s="32">
        <f>SUM(O59:O68)</f>
        <v>386.18333333333328</v>
      </c>
      <c r="P58" s="33">
        <f>SUM(P59:P68)</f>
        <v>2.9</v>
      </c>
      <c r="Q58" s="32">
        <f>SUM(Q59:Q68)</f>
        <v>386.18333333333328</v>
      </c>
      <c r="R58" s="33">
        <f>SUM(R59:R68)</f>
        <v>2.9</v>
      </c>
    </row>
    <row r="59" spans="1:18" outlineLevel="1" x14ac:dyDescent="0.45">
      <c r="A59" s="24" t="str">
        <f>$A$88</f>
        <v xml:space="preserve">   Maria Alonzo</v>
      </c>
      <c r="B59" s="7">
        <f>$C$88</f>
        <v>133.16666666666666</v>
      </c>
      <c r="C59" s="3"/>
      <c r="D59" s="11"/>
      <c r="E59" s="34">
        <f t="shared" si="17"/>
        <v>79.899999999999991</v>
      </c>
      <c r="F59" s="35">
        <v>0.6</v>
      </c>
      <c r="G59" s="34">
        <f>B59*H59</f>
        <v>79.899999999999991</v>
      </c>
      <c r="H59" s="35">
        <v>0.6</v>
      </c>
      <c r="I59" s="34">
        <f>B59*J59</f>
        <v>79.899999999999991</v>
      </c>
      <c r="J59" s="35">
        <v>0.6</v>
      </c>
      <c r="K59" s="34">
        <f>B59*L59</f>
        <v>79.899999999999991</v>
      </c>
      <c r="L59" s="35">
        <v>0.6</v>
      </c>
      <c r="M59" s="34">
        <f>B59*N59</f>
        <v>79.899999999999991</v>
      </c>
      <c r="N59" s="35">
        <v>0.6</v>
      </c>
      <c r="O59" s="34">
        <f>B59*P59</f>
        <v>79.899999999999991</v>
      </c>
      <c r="P59" s="35">
        <v>0.6</v>
      </c>
      <c r="Q59" s="34">
        <f>B59*R59</f>
        <v>79.899999999999991</v>
      </c>
      <c r="R59" s="35">
        <v>0.6</v>
      </c>
    </row>
    <row r="60" spans="1:18" outlineLevel="1" x14ac:dyDescent="0.45">
      <c r="A60" s="24" t="str">
        <f>$A$89</f>
        <v xml:space="preserve">   Jacobo Ramirez</v>
      </c>
      <c r="B60" s="7">
        <f>$C$89</f>
        <v>133.16666666666666</v>
      </c>
      <c r="C60" s="3"/>
      <c r="D60" s="11"/>
      <c r="E60" s="34">
        <f t="shared" si="17"/>
        <v>133.16666666666666</v>
      </c>
      <c r="F60" s="35">
        <v>1</v>
      </c>
      <c r="G60" s="34">
        <f t="shared" ref="G60:G68" si="37">B60*H60</f>
        <v>133.16666666666666</v>
      </c>
      <c r="H60" s="35">
        <v>1</v>
      </c>
      <c r="I60" s="34">
        <f t="shared" ref="I60:I68" si="38">B60*J60</f>
        <v>133.16666666666666</v>
      </c>
      <c r="J60" s="35">
        <v>1</v>
      </c>
      <c r="K60" s="34">
        <f t="shared" ref="K60:K68" si="39">B60*L60</f>
        <v>133.16666666666666</v>
      </c>
      <c r="L60" s="35">
        <v>1</v>
      </c>
      <c r="M60" s="34">
        <f t="shared" ref="M60:M68" si="40">B60*N60</f>
        <v>133.16666666666666</v>
      </c>
      <c r="N60" s="35">
        <v>1</v>
      </c>
      <c r="O60" s="34">
        <f t="shared" ref="O60:O68" si="41">B60*P60</f>
        <v>133.16666666666666</v>
      </c>
      <c r="P60" s="35">
        <v>1</v>
      </c>
      <c r="Q60" s="34">
        <f t="shared" ref="Q60:Q68" si="42">B60*R60</f>
        <v>133.16666666666666</v>
      </c>
      <c r="R60" s="35">
        <v>1</v>
      </c>
    </row>
    <row r="61" spans="1:18" outlineLevel="1" x14ac:dyDescent="0.45">
      <c r="A61" s="24" t="str">
        <f>$A$90</f>
        <v xml:space="preserve">   Boris Welzen</v>
      </c>
      <c r="B61" s="7">
        <f>$C$90</f>
        <v>133.16666666666666</v>
      </c>
      <c r="C61" s="3"/>
      <c r="D61" s="11"/>
      <c r="E61" s="34">
        <f t="shared" si="17"/>
        <v>13.316666666666666</v>
      </c>
      <c r="F61" s="35">
        <v>0.1</v>
      </c>
      <c r="G61" s="34">
        <f t="shared" si="37"/>
        <v>26.633333333333333</v>
      </c>
      <c r="H61" s="35">
        <v>0.2</v>
      </c>
      <c r="I61" s="34">
        <f t="shared" si="38"/>
        <v>39.949999999999996</v>
      </c>
      <c r="J61" s="35">
        <v>0.3</v>
      </c>
      <c r="K61" s="34">
        <f t="shared" si="39"/>
        <v>53.266666666666666</v>
      </c>
      <c r="L61" s="35">
        <v>0.4</v>
      </c>
      <c r="M61" s="34">
        <f t="shared" si="40"/>
        <v>53.266666666666666</v>
      </c>
      <c r="N61" s="35">
        <v>0.4</v>
      </c>
      <c r="O61" s="34">
        <f t="shared" si="41"/>
        <v>53.266666666666666</v>
      </c>
      <c r="P61" s="35">
        <v>0.4</v>
      </c>
      <c r="Q61" s="34">
        <f t="shared" si="42"/>
        <v>53.266666666666666</v>
      </c>
      <c r="R61" s="35">
        <v>0.4</v>
      </c>
    </row>
    <row r="62" spans="1:18" outlineLevel="1" x14ac:dyDescent="0.45">
      <c r="A62" s="24" t="str">
        <f>$A$91</f>
        <v xml:space="preserve">   Rutger Reij</v>
      </c>
      <c r="B62" s="7">
        <f>$C$91</f>
        <v>103.72833333333332</v>
      </c>
      <c r="C62" s="3"/>
      <c r="D62" s="11"/>
      <c r="E62" s="34">
        <f t="shared" si="17"/>
        <v>0</v>
      </c>
      <c r="F62" s="35">
        <v>0</v>
      </c>
      <c r="G62" s="34">
        <f t="shared" si="37"/>
        <v>0</v>
      </c>
      <c r="H62" s="35">
        <v>0</v>
      </c>
      <c r="I62" s="34">
        <f t="shared" si="38"/>
        <v>0</v>
      </c>
      <c r="J62" s="35">
        <v>0</v>
      </c>
      <c r="K62" s="34">
        <f t="shared" si="39"/>
        <v>0</v>
      </c>
      <c r="L62" s="35">
        <v>0</v>
      </c>
      <c r="M62" s="34">
        <f t="shared" si="40"/>
        <v>0</v>
      </c>
      <c r="N62" s="35">
        <v>0</v>
      </c>
      <c r="O62" s="34">
        <f t="shared" si="41"/>
        <v>0</v>
      </c>
      <c r="P62" s="35">
        <v>0</v>
      </c>
      <c r="Q62" s="34">
        <f t="shared" si="42"/>
        <v>0</v>
      </c>
      <c r="R62" s="35">
        <v>0</v>
      </c>
    </row>
    <row r="63" spans="1:18" outlineLevel="1" x14ac:dyDescent="0.45">
      <c r="A63" s="24" t="str">
        <f>$A$92</f>
        <v xml:space="preserve">   Fatemeh Rashidashmagh</v>
      </c>
      <c r="B63" s="7">
        <f>$C$92</f>
        <v>133.16666666666666</v>
      </c>
      <c r="C63" s="3"/>
      <c r="D63" s="11"/>
      <c r="E63" s="34">
        <f t="shared" si="17"/>
        <v>39.949999999999996</v>
      </c>
      <c r="F63" s="35">
        <v>0.3</v>
      </c>
      <c r="G63" s="34">
        <f t="shared" si="37"/>
        <v>39.949999999999996</v>
      </c>
      <c r="H63" s="35">
        <v>0.3</v>
      </c>
      <c r="I63" s="34">
        <f t="shared" si="38"/>
        <v>39.949999999999996</v>
      </c>
      <c r="J63" s="35">
        <v>0.3</v>
      </c>
      <c r="K63" s="34">
        <f t="shared" si="39"/>
        <v>39.949999999999996</v>
      </c>
      <c r="L63" s="35">
        <v>0.3</v>
      </c>
      <c r="M63" s="34">
        <f t="shared" si="40"/>
        <v>39.949999999999996</v>
      </c>
      <c r="N63" s="35">
        <v>0.3</v>
      </c>
      <c r="O63" s="34">
        <f t="shared" si="41"/>
        <v>39.949999999999996</v>
      </c>
      <c r="P63" s="35">
        <v>0.3</v>
      </c>
      <c r="Q63" s="34">
        <f t="shared" si="42"/>
        <v>39.949999999999996</v>
      </c>
      <c r="R63" s="35">
        <v>0.3</v>
      </c>
    </row>
    <row r="64" spans="1:18" outlineLevel="1" x14ac:dyDescent="0.45">
      <c r="A64" s="24" t="str">
        <f>$A$93</f>
        <v xml:space="preserve">   William Garcia</v>
      </c>
      <c r="B64" s="7">
        <f>$C$93</f>
        <v>133.16666666666666</v>
      </c>
      <c r="C64" s="3"/>
      <c r="D64" s="11"/>
      <c r="E64" s="34">
        <f t="shared" si="17"/>
        <v>39.949999999999996</v>
      </c>
      <c r="F64" s="35">
        <v>0.3</v>
      </c>
      <c r="G64" s="34">
        <f t="shared" si="37"/>
        <v>39.949999999999996</v>
      </c>
      <c r="H64" s="35">
        <v>0.3</v>
      </c>
      <c r="I64" s="34">
        <f t="shared" si="38"/>
        <v>39.949999999999996</v>
      </c>
      <c r="J64" s="35">
        <v>0.3</v>
      </c>
      <c r="K64" s="34">
        <f t="shared" si="39"/>
        <v>39.949999999999996</v>
      </c>
      <c r="L64" s="35">
        <v>0.3</v>
      </c>
      <c r="M64" s="34">
        <f t="shared" si="40"/>
        <v>39.949999999999996</v>
      </c>
      <c r="N64" s="35">
        <v>0.3</v>
      </c>
      <c r="O64" s="34">
        <f t="shared" si="41"/>
        <v>39.949999999999996</v>
      </c>
      <c r="P64" s="35">
        <v>0.3</v>
      </c>
      <c r="Q64" s="34">
        <f t="shared" si="42"/>
        <v>39.949999999999996</v>
      </c>
      <c r="R64" s="35">
        <v>0.3</v>
      </c>
    </row>
    <row r="65" spans="1:18" outlineLevel="1" x14ac:dyDescent="0.45">
      <c r="A65" s="24" t="str">
        <f>$A$94</f>
        <v xml:space="preserve">   Ajitha Karuppiah</v>
      </c>
      <c r="B65" s="7">
        <f>$C$94</f>
        <v>133.16666666666666</v>
      </c>
      <c r="C65" s="3"/>
      <c r="D65" s="11"/>
      <c r="E65" s="34">
        <f t="shared" si="17"/>
        <v>13.316666666666666</v>
      </c>
      <c r="F65" s="35">
        <v>0.1</v>
      </c>
      <c r="G65" s="34">
        <f t="shared" si="37"/>
        <v>13.316666666666666</v>
      </c>
      <c r="H65" s="35">
        <v>0.1</v>
      </c>
      <c r="I65" s="34">
        <f t="shared" si="38"/>
        <v>13.316666666666666</v>
      </c>
      <c r="J65" s="35">
        <v>0.1</v>
      </c>
      <c r="K65" s="34">
        <f t="shared" si="39"/>
        <v>13.316666666666666</v>
      </c>
      <c r="L65" s="35">
        <v>0.1</v>
      </c>
      <c r="M65" s="34">
        <f t="shared" si="40"/>
        <v>13.316666666666666</v>
      </c>
      <c r="N65" s="35">
        <v>0.1</v>
      </c>
      <c r="O65" s="34">
        <f t="shared" si="41"/>
        <v>13.316666666666666</v>
      </c>
      <c r="P65" s="35">
        <v>0.1</v>
      </c>
      <c r="Q65" s="34">
        <f t="shared" si="42"/>
        <v>13.316666666666666</v>
      </c>
      <c r="R65" s="35">
        <v>0.1</v>
      </c>
    </row>
    <row r="66" spans="1:18" outlineLevel="1" x14ac:dyDescent="0.45">
      <c r="A66" s="24" t="str">
        <f>$A$95</f>
        <v xml:space="preserve">   Anwar Hassan</v>
      </c>
      <c r="B66" s="7">
        <f>$C$95</f>
        <v>133.16666666666666</v>
      </c>
      <c r="C66" s="3"/>
      <c r="D66" s="11"/>
      <c r="E66" s="34">
        <f t="shared" si="17"/>
        <v>0</v>
      </c>
      <c r="F66" s="35">
        <v>0</v>
      </c>
      <c r="G66" s="34">
        <f t="shared" si="37"/>
        <v>0</v>
      </c>
      <c r="H66" s="35">
        <v>0</v>
      </c>
      <c r="I66" s="34">
        <f t="shared" si="38"/>
        <v>0</v>
      </c>
      <c r="J66" s="35">
        <v>0</v>
      </c>
      <c r="K66" s="34">
        <f t="shared" si="39"/>
        <v>0</v>
      </c>
      <c r="L66" s="35">
        <v>0</v>
      </c>
      <c r="M66" s="34">
        <f t="shared" si="40"/>
        <v>0</v>
      </c>
      <c r="N66" s="35">
        <v>0</v>
      </c>
      <c r="O66" s="34">
        <f t="shared" si="41"/>
        <v>0</v>
      </c>
      <c r="P66" s="35">
        <v>0</v>
      </c>
      <c r="Q66" s="34">
        <f t="shared" si="42"/>
        <v>0</v>
      </c>
      <c r="R66" s="35">
        <v>0</v>
      </c>
    </row>
    <row r="67" spans="1:18" outlineLevel="1" x14ac:dyDescent="0.45">
      <c r="A67" s="24" t="str">
        <f>$A$96</f>
        <v xml:space="preserve">   Neville Cory</v>
      </c>
      <c r="B67" s="7">
        <f>$C$96</f>
        <v>133.16666666666666</v>
      </c>
      <c r="C67" s="3"/>
      <c r="D67" s="11"/>
      <c r="E67" s="34">
        <f t="shared" si="17"/>
        <v>0</v>
      </c>
      <c r="F67" s="35">
        <v>0</v>
      </c>
      <c r="G67" s="34">
        <f t="shared" si="37"/>
        <v>0</v>
      </c>
      <c r="H67" s="35">
        <v>0</v>
      </c>
      <c r="I67" s="34">
        <f t="shared" si="38"/>
        <v>0</v>
      </c>
      <c r="J67" s="35">
        <v>0</v>
      </c>
      <c r="K67" s="34">
        <f t="shared" si="39"/>
        <v>0</v>
      </c>
      <c r="L67" s="35">
        <v>0</v>
      </c>
      <c r="M67" s="34">
        <f t="shared" si="40"/>
        <v>0</v>
      </c>
      <c r="N67" s="35">
        <v>0</v>
      </c>
      <c r="O67" s="34">
        <f t="shared" si="41"/>
        <v>0</v>
      </c>
      <c r="P67" s="35">
        <v>0</v>
      </c>
      <c r="Q67" s="34">
        <f t="shared" si="42"/>
        <v>0</v>
      </c>
      <c r="R67" s="35">
        <v>0</v>
      </c>
    </row>
    <row r="68" spans="1:18" ht="14.65" outlineLevel="1" thickBot="1" x14ac:dyDescent="0.5">
      <c r="A68" s="25" t="str">
        <f>$A$97</f>
        <v xml:space="preserve">   Onur Kavakli</v>
      </c>
      <c r="B68" s="26">
        <f>$C$97</f>
        <v>133.16666666666666</v>
      </c>
      <c r="C68" s="27"/>
      <c r="D68" s="28"/>
      <c r="E68" s="36">
        <f t="shared" si="17"/>
        <v>26.633333333333333</v>
      </c>
      <c r="F68" s="37">
        <v>0.2</v>
      </c>
      <c r="G68" s="36">
        <f t="shared" si="37"/>
        <v>26.633333333333333</v>
      </c>
      <c r="H68" s="37">
        <v>0.2</v>
      </c>
      <c r="I68" s="36">
        <f t="shared" si="38"/>
        <v>26.633333333333333</v>
      </c>
      <c r="J68" s="37">
        <v>0.2</v>
      </c>
      <c r="K68" s="36">
        <f t="shared" si="39"/>
        <v>26.633333333333333</v>
      </c>
      <c r="L68" s="37">
        <v>0.2</v>
      </c>
      <c r="M68" s="36">
        <f t="shared" si="40"/>
        <v>26.633333333333333</v>
      </c>
      <c r="N68" s="37">
        <v>0.2</v>
      </c>
      <c r="O68" s="36">
        <f t="shared" si="41"/>
        <v>26.633333333333333</v>
      </c>
      <c r="P68" s="37">
        <v>0.2</v>
      </c>
      <c r="Q68" s="36">
        <f t="shared" si="42"/>
        <v>26.633333333333333</v>
      </c>
      <c r="R68" s="37">
        <v>0.2</v>
      </c>
    </row>
    <row r="69" spans="1:18" x14ac:dyDescent="0.45">
      <c r="A69" s="20" t="s">
        <v>61</v>
      </c>
      <c r="B69" s="21"/>
      <c r="C69" s="22"/>
      <c r="D69" s="23"/>
      <c r="E69" s="32">
        <f>SUM(E70:E79)</f>
        <v>159.79999999999998</v>
      </c>
      <c r="F69" s="33">
        <f>SUM(F70:F79)</f>
        <v>1.2</v>
      </c>
      <c r="G69" s="32">
        <f>SUM(G70:G79)</f>
        <v>186.43333333333334</v>
      </c>
      <c r="H69" s="33">
        <f>SUM(H70:H79)</f>
        <v>1.4</v>
      </c>
      <c r="I69" s="32">
        <f>SUM(I70:I79)</f>
        <v>159.80000000000001</v>
      </c>
      <c r="J69" s="33">
        <f>SUM(J70:J79)</f>
        <v>1.2000000000000002</v>
      </c>
      <c r="K69" s="32">
        <f>SUM(K70:K79)</f>
        <v>186.43333333333334</v>
      </c>
      <c r="L69" s="33">
        <f>SUM(L70:L79)</f>
        <v>1.4</v>
      </c>
      <c r="M69" s="32">
        <f>SUM(M70:M79)</f>
        <v>0</v>
      </c>
      <c r="N69" s="33">
        <f>SUM(N70:N79)</f>
        <v>0</v>
      </c>
      <c r="O69" s="32">
        <f>SUM(O70:O79)</f>
        <v>0</v>
      </c>
      <c r="P69" s="33">
        <f>SUM(P70:P79)</f>
        <v>0</v>
      </c>
      <c r="Q69" s="32">
        <f>SUM(Q70:Q79)</f>
        <v>0</v>
      </c>
      <c r="R69" s="33">
        <f>SUM(R70:R79)</f>
        <v>0</v>
      </c>
    </row>
    <row r="70" spans="1:18" outlineLevel="1" x14ac:dyDescent="0.45">
      <c r="A70" s="24" t="str">
        <f>$A$88</f>
        <v xml:space="preserve">   Maria Alonzo</v>
      </c>
      <c r="B70" s="7">
        <f>$C$88</f>
        <v>133.16666666666666</v>
      </c>
      <c r="C70" s="3"/>
      <c r="D70" s="11"/>
      <c r="E70" s="34">
        <f t="shared" si="17"/>
        <v>0</v>
      </c>
      <c r="F70" s="35">
        <v>0</v>
      </c>
      <c r="G70" s="34">
        <f>B70*H70</f>
        <v>0</v>
      </c>
      <c r="H70" s="35">
        <v>0</v>
      </c>
      <c r="I70" s="34">
        <f>B70*J70</f>
        <v>0</v>
      </c>
      <c r="J70" s="35">
        <v>0</v>
      </c>
      <c r="K70" s="34">
        <f>B70*L70</f>
        <v>0</v>
      </c>
      <c r="L70" s="35">
        <v>0</v>
      </c>
      <c r="M70" s="34">
        <f>B70*N70</f>
        <v>0</v>
      </c>
      <c r="N70" s="35"/>
      <c r="O70" s="34">
        <f>B70*P70</f>
        <v>0</v>
      </c>
      <c r="P70" s="35"/>
      <c r="Q70" s="34">
        <f>B70*R70</f>
        <v>0</v>
      </c>
      <c r="R70" s="35"/>
    </row>
    <row r="71" spans="1:18" outlineLevel="1" x14ac:dyDescent="0.45">
      <c r="A71" s="24" t="str">
        <f>$A$89</f>
        <v xml:space="preserve">   Jacobo Ramirez</v>
      </c>
      <c r="B71" s="7">
        <f>$C$89</f>
        <v>133.16666666666666</v>
      </c>
      <c r="C71" s="3"/>
      <c r="D71" s="11"/>
      <c r="E71" s="34">
        <f t="shared" si="17"/>
        <v>0</v>
      </c>
      <c r="F71" s="35">
        <v>0</v>
      </c>
      <c r="G71" s="34">
        <f t="shared" ref="G71:G79" si="43">B71*H71</f>
        <v>0</v>
      </c>
      <c r="H71" s="35">
        <v>0</v>
      </c>
      <c r="I71" s="34">
        <f t="shared" ref="I71:I79" si="44">B71*J71</f>
        <v>0</v>
      </c>
      <c r="J71" s="35">
        <v>0</v>
      </c>
      <c r="K71" s="34">
        <f t="shared" ref="K71:K79" si="45">B71*L71</f>
        <v>0</v>
      </c>
      <c r="L71" s="35">
        <v>0</v>
      </c>
      <c r="M71" s="34">
        <f t="shared" ref="M71:M79" si="46">B71*N71</f>
        <v>0</v>
      </c>
      <c r="N71" s="35"/>
      <c r="O71" s="34">
        <f t="shared" ref="O71:O79" si="47">B71*P71</f>
        <v>0</v>
      </c>
      <c r="P71" s="35"/>
      <c r="Q71" s="34">
        <f t="shared" ref="Q71:Q79" si="48">B71*R71</f>
        <v>0</v>
      </c>
      <c r="R71" s="35"/>
    </row>
    <row r="72" spans="1:18" outlineLevel="1" x14ac:dyDescent="0.45">
      <c r="A72" s="24" t="str">
        <f>$A$90</f>
        <v xml:space="preserve">   Boris Welzen</v>
      </c>
      <c r="B72" s="7">
        <f>$C$90</f>
        <v>133.16666666666666</v>
      </c>
      <c r="C72" s="3"/>
      <c r="D72" s="11"/>
      <c r="E72" s="34">
        <f t="shared" si="17"/>
        <v>26.633333333333333</v>
      </c>
      <c r="F72" s="35">
        <v>0.2</v>
      </c>
      <c r="G72" s="34">
        <f t="shared" si="43"/>
        <v>26.633333333333333</v>
      </c>
      <c r="H72" s="35">
        <v>0.2</v>
      </c>
      <c r="I72" s="34">
        <f t="shared" si="44"/>
        <v>26.633333333333333</v>
      </c>
      <c r="J72" s="35">
        <v>0.2</v>
      </c>
      <c r="K72" s="34">
        <f t="shared" si="45"/>
        <v>26.633333333333333</v>
      </c>
      <c r="L72" s="35">
        <v>0.2</v>
      </c>
      <c r="M72" s="34">
        <f t="shared" si="46"/>
        <v>0</v>
      </c>
      <c r="N72" s="35"/>
      <c r="O72" s="34">
        <f t="shared" si="47"/>
        <v>0</v>
      </c>
      <c r="P72" s="35"/>
      <c r="Q72" s="34">
        <f t="shared" si="48"/>
        <v>0</v>
      </c>
      <c r="R72" s="35"/>
    </row>
    <row r="73" spans="1:18" outlineLevel="1" x14ac:dyDescent="0.45">
      <c r="A73" s="24" t="str">
        <f>$A$91</f>
        <v xml:space="preserve">   Rutger Reij</v>
      </c>
      <c r="B73" s="7">
        <f>$C$91</f>
        <v>103.72833333333332</v>
      </c>
      <c r="C73" s="3"/>
      <c r="D73" s="11"/>
      <c r="E73" s="34">
        <f t="shared" si="17"/>
        <v>0</v>
      </c>
      <c r="F73" s="35">
        <v>0</v>
      </c>
      <c r="G73" s="34">
        <f t="shared" si="43"/>
        <v>0</v>
      </c>
      <c r="H73" s="35">
        <v>0</v>
      </c>
      <c r="I73" s="34">
        <f t="shared" si="44"/>
        <v>0</v>
      </c>
      <c r="J73" s="35">
        <v>0</v>
      </c>
      <c r="K73" s="34">
        <f t="shared" si="45"/>
        <v>0</v>
      </c>
      <c r="L73" s="35">
        <v>0</v>
      </c>
      <c r="M73" s="34">
        <f t="shared" si="46"/>
        <v>0</v>
      </c>
      <c r="N73" s="35"/>
      <c r="O73" s="34">
        <f t="shared" si="47"/>
        <v>0</v>
      </c>
      <c r="P73" s="35"/>
      <c r="Q73" s="34">
        <f t="shared" si="48"/>
        <v>0</v>
      </c>
      <c r="R73" s="35"/>
    </row>
    <row r="74" spans="1:18" outlineLevel="1" x14ac:dyDescent="0.45">
      <c r="A74" s="24" t="str">
        <f>$A$92</f>
        <v xml:space="preserve">   Fatemeh Rashidashmagh</v>
      </c>
      <c r="B74" s="7">
        <f>$C$92</f>
        <v>133.16666666666666</v>
      </c>
      <c r="C74" s="3"/>
      <c r="D74" s="11"/>
      <c r="E74" s="34">
        <f t="shared" si="17"/>
        <v>39.949999999999996</v>
      </c>
      <c r="F74" s="35">
        <v>0.3</v>
      </c>
      <c r="G74" s="34">
        <f t="shared" si="43"/>
        <v>53.266666666666666</v>
      </c>
      <c r="H74" s="35">
        <v>0.4</v>
      </c>
      <c r="I74" s="34">
        <f t="shared" si="44"/>
        <v>53.266666666666666</v>
      </c>
      <c r="J74" s="35">
        <v>0.4</v>
      </c>
      <c r="K74" s="34">
        <f t="shared" si="45"/>
        <v>53.266666666666666</v>
      </c>
      <c r="L74" s="35">
        <v>0.4</v>
      </c>
      <c r="M74" s="34">
        <f t="shared" si="46"/>
        <v>0</v>
      </c>
      <c r="N74" s="35"/>
      <c r="O74" s="34">
        <f t="shared" si="47"/>
        <v>0</v>
      </c>
      <c r="P74" s="35"/>
      <c r="Q74" s="34">
        <f t="shared" si="48"/>
        <v>0</v>
      </c>
      <c r="R74" s="35"/>
    </row>
    <row r="75" spans="1:18" outlineLevel="1" x14ac:dyDescent="0.45">
      <c r="A75" s="24" t="str">
        <f>$A$93</f>
        <v xml:space="preserve">   William Garcia</v>
      </c>
      <c r="B75" s="7">
        <f>$C$93</f>
        <v>133.16666666666666</v>
      </c>
      <c r="C75" s="3"/>
      <c r="D75" s="11"/>
      <c r="E75" s="34">
        <f t="shared" si="17"/>
        <v>39.949999999999996</v>
      </c>
      <c r="F75" s="35">
        <v>0.3</v>
      </c>
      <c r="G75" s="34">
        <f t="shared" si="43"/>
        <v>53.266666666666666</v>
      </c>
      <c r="H75" s="35">
        <v>0.4</v>
      </c>
      <c r="I75" s="34">
        <f t="shared" si="44"/>
        <v>53.266666666666666</v>
      </c>
      <c r="J75" s="35">
        <v>0.4</v>
      </c>
      <c r="K75" s="34">
        <f t="shared" si="45"/>
        <v>53.266666666666666</v>
      </c>
      <c r="L75" s="35">
        <v>0.4</v>
      </c>
      <c r="M75" s="34">
        <f t="shared" si="46"/>
        <v>0</v>
      </c>
      <c r="N75" s="35"/>
      <c r="O75" s="34">
        <f t="shared" si="47"/>
        <v>0</v>
      </c>
      <c r="P75" s="35"/>
      <c r="Q75" s="34">
        <f t="shared" si="48"/>
        <v>0</v>
      </c>
      <c r="R75" s="35"/>
    </row>
    <row r="76" spans="1:18" outlineLevel="1" x14ac:dyDescent="0.45">
      <c r="A76" s="24" t="str">
        <f>$A$94</f>
        <v xml:space="preserve">   Ajitha Karuppiah</v>
      </c>
      <c r="B76" s="7">
        <f>$C$94</f>
        <v>133.16666666666666</v>
      </c>
      <c r="C76" s="3"/>
      <c r="D76" s="11"/>
      <c r="E76" s="34">
        <f t="shared" si="17"/>
        <v>0</v>
      </c>
      <c r="F76" s="35">
        <v>0</v>
      </c>
      <c r="G76" s="34">
        <f t="shared" si="43"/>
        <v>0</v>
      </c>
      <c r="H76" s="35">
        <v>0</v>
      </c>
      <c r="I76" s="34">
        <f t="shared" si="44"/>
        <v>0</v>
      </c>
      <c r="J76" s="35">
        <v>0</v>
      </c>
      <c r="K76" s="34">
        <f t="shared" si="45"/>
        <v>0</v>
      </c>
      <c r="L76" s="35">
        <v>0</v>
      </c>
      <c r="M76" s="34">
        <f t="shared" si="46"/>
        <v>0</v>
      </c>
      <c r="N76" s="35"/>
      <c r="O76" s="34">
        <f t="shared" si="47"/>
        <v>0</v>
      </c>
      <c r="P76" s="35"/>
      <c r="Q76" s="34">
        <f t="shared" si="48"/>
        <v>0</v>
      </c>
      <c r="R76" s="35"/>
    </row>
    <row r="77" spans="1:18" outlineLevel="1" x14ac:dyDescent="0.45">
      <c r="A77" s="24" t="str">
        <f>$A$95</f>
        <v xml:space="preserve">   Anwar Hassan</v>
      </c>
      <c r="B77" s="7">
        <f>$C$95</f>
        <v>133.16666666666666</v>
      </c>
      <c r="C77" s="3"/>
      <c r="D77" s="11"/>
      <c r="E77" s="34">
        <f t="shared" si="17"/>
        <v>0</v>
      </c>
      <c r="F77" s="35">
        <v>0</v>
      </c>
      <c r="G77" s="34">
        <f t="shared" si="43"/>
        <v>0</v>
      </c>
      <c r="H77" s="35">
        <v>0</v>
      </c>
      <c r="I77" s="34">
        <f t="shared" si="44"/>
        <v>0</v>
      </c>
      <c r="J77" s="35">
        <v>0</v>
      </c>
      <c r="K77" s="34">
        <f t="shared" si="45"/>
        <v>0</v>
      </c>
      <c r="L77" s="35">
        <v>0</v>
      </c>
      <c r="M77" s="34">
        <f t="shared" si="46"/>
        <v>0</v>
      </c>
      <c r="N77" s="35"/>
      <c r="O77" s="34">
        <f t="shared" si="47"/>
        <v>0</v>
      </c>
      <c r="P77" s="35"/>
      <c r="Q77" s="34">
        <f t="shared" si="48"/>
        <v>0</v>
      </c>
      <c r="R77" s="35"/>
    </row>
    <row r="78" spans="1:18" outlineLevel="1" x14ac:dyDescent="0.45">
      <c r="A78" s="24" t="str">
        <f>$A$96</f>
        <v xml:space="preserve">   Neville Cory</v>
      </c>
      <c r="B78" s="7">
        <f>$C$96</f>
        <v>133.16666666666666</v>
      </c>
      <c r="C78" s="3"/>
      <c r="D78" s="11"/>
      <c r="E78" s="34">
        <f t="shared" si="17"/>
        <v>26.633333333333333</v>
      </c>
      <c r="F78" s="35">
        <v>0.2</v>
      </c>
      <c r="G78" s="34">
        <f t="shared" si="43"/>
        <v>26.633333333333333</v>
      </c>
      <c r="H78" s="35">
        <v>0.2</v>
      </c>
      <c r="I78" s="34">
        <f t="shared" si="44"/>
        <v>13.316666666666666</v>
      </c>
      <c r="J78" s="35">
        <v>0.1</v>
      </c>
      <c r="K78" s="34">
        <f t="shared" si="45"/>
        <v>26.633333333333333</v>
      </c>
      <c r="L78" s="35">
        <v>0.2</v>
      </c>
      <c r="M78" s="34">
        <f t="shared" si="46"/>
        <v>0</v>
      </c>
      <c r="N78" s="35"/>
      <c r="O78" s="34">
        <f t="shared" si="47"/>
        <v>0</v>
      </c>
      <c r="P78" s="35"/>
      <c r="Q78" s="34">
        <f t="shared" si="48"/>
        <v>0</v>
      </c>
      <c r="R78" s="35"/>
    </row>
    <row r="79" spans="1:18" ht="14.65" outlineLevel="1" thickBot="1" x14ac:dyDescent="0.5">
      <c r="A79" s="25" t="str">
        <f>$A$97</f>
        <v xml:space="preserve">   Onur Kavakli</v>
      </c>
      <c r="B79" s="26">
        <f>$C$97</f>
        <v>133.16666666666666</v>
      </c>
      <c r="C79" s="27"/>
      <c r="D79" s="28"/>
      <c r="E79" s="36">
        <f t="shared" si="17"/>
        <v>26.633333333333333</v>
      </c>
      <c r="F79" s="37">
        <v>0.2</v>
      </c>
      <c r="G79" s="36">
        <f t="shared" si="43"/>
        <v>26.633333333333333</v>
      </c>
      <c r="H79" s="37">
        <v>0.2</v>
      </c>
      <c r="I79" s="36">
        <f t="shared" si="44"/>
        <v>13.316666666666666</v>
      </c>
      <c r="J79" s="37">
        <v>0.1</v>
      </c>
      <c r="K79" s="36">
        <f t="shared" si="45"/>
        <v>26.633333333333333</v>
      </c>
      <c r="L79" s="37">
        <v>0.2</v>
      </c>
      <c r="M79" s="36">
        <f t="shared" si="46"/>
        <v>0</v>
      </c>
      <c r="N79" s="37"/>
      <c r="O79" s="36">
        <f t="shared" si="47"/>
        <v>0</v>
      </c>
      <c r="P79" s="37"/>
      <c r="Q79" s="36">
        <f t="shared" si="48"/>
        <v>0</v>
      </c>
      <c r="R79" s="37"/>
    </row>
    <row r="80" spans="1:18" ht="14.65" thickBot="1" x14ac:dyDescent="0.5"/>
    <row r="81" spans="1:17" x14ac:dyDescent="0.45">
      <c r="A81" s="42"/>
      <c r="B81" s="54"/>
      <c r="C81" s="54" t="s">
        <v>78</v>
      </c>
      <c r="D81" s="55" t="s">
        <v>79</v>
      </c>
    </row>
    <row r="82" spans="1:17" x14ac:dyDescent="0.45">
      <c r="A82" s="56" t="s">
        <v>74</v>
      </c>
      <c r="B82" s="57">
        <v>2080</v>
      </c>
      <c r="C82" s="57">
        <f>B82/12</f>
        <v>173.33333333333334</v>
      </c>
      <c r="D82" s="58">
        <v>138.69999999999999</v>
      </c>
    </row>
    <row r="83" spans="1:17" x14ac:dyDescent="0.45">
      <c r="A83" s="56" t="s">
        <v>75</v>
      </c>
      <c r="B83" s="57">
        <v>200</v>
      </c>
      <c r="C83" s="57">
        <f t="shared" ref="C83:C85" si="49">B83/12</f>
        <v>16.666666666666668</v>
      </c>
      <c r="D83" s="58">
        <f>B83/12</f>
        <v>16.666666666666668</v>
      </c>
    </row>
    <row r="84" spans="1:17" x14ac:dyDescent="0.45">
      <c r="A84" s="56" t="s">
        <v>77</v>
      </c>
      <c r="B84" s="57">
        <f>(B82-B83)*0.15</f>
        <v>282</v>
      </c>
      <c r="C84" s="57">
        <f t="shared" si="49"/>
        <v>23.5</v>
      </c>
      <c r="D84" s="58">
        <f>(D82-D83)*0.15</f>
        <v>18.304999999999996</v>
      </c>
    </row>
    <row r="85" spans="1:17" ht="14.65" thickBot="1" x14ac:dyDescent="0.5">
      <c r="A85" s="59" t="s">
        <v>76</v>
      </c>
      <c r="B85" s="60">
        <f>B82-B83-B84</f>
        <v>1598</v>
      </c>
      <c r="C85" s="60">
        <f t="shared" si="49"/>
        <v>133.16666666666666</v>
      </c>
      <c r="D85" s="61">
        <f>D82-D83-D84</f>
        <v>103.72833333333332</v>
      </c>
    </row>
    <row r="86" spans="1:17" ht="14.65" thickBot="1" x14ac:dyDescent="0.5"/>
    <row r="87" spans="1:17" ht="61.9" thickBot="1" x14ac:dyDescent="0.5">
      <c r="A87" s="62" t="s">
        <v>11</v>
      </c>
      <c r="C87" s="8" t="s">
        <v>73</v>
      </c>
      <c r="D87" s="49" t="s">
        <v>41</v>
      </c>
      <c r="E87" s="50" t="s">
        <v>62</v>
      </c>
      <c r="F87" s="50" t="s">
        <v>42</v>
      </c>
      <c r="G87" s="50" t="s">
        <v>62</v>
      </c>
      <c r="H87" s="50" t="s">
        <v>43</v>
      </c>
      <c r="I87" s="50" t="s">
        <v>62</v>
      </c>
      <c r="J87" s="50" t="s">
        <v>44</v>
      </c>
      <c r="K87" s="50" t="s">
        <v>62</v>
      </c>
      <c r="L87" s="50" t="s">
        <v>45</v>
      </c>
      <c r="M87" s="50" t="s">
        <v>62</v>
      </c>
      <c r="N87" s="50" t="s">
        <v>46</v>
      </c>
      <c r="O87" s="50" t="s">
        <v>62</v>
      </c>
      <c r="P87" s="50" t="s">
        <v>47</v>
      </c>
      <c r="Q87" s="50" t="s">
        <v>62</v>
      </c>
    </row>
    <row r="88" spans="1:17" x14ac:dyDescent="0.45">
      <c r="A88" s="11" t="s">
        <v>48</v>
      </c>
      <c r="B88" s="5" t="s">
        <v>82</v>
      </c>
      <c r="C88" s="51">
        <f>$C$85</f>
        <v>133.16666666666666</v>
      </c>
      <c r="D88" s="43">
        <f>E4+E15+E26+E37+E48+E59+E70</f>
        <v>79.899999999999991</v>
      </c>
      <c r="E88" s="44">
        <f>1-(D88/C88)</f>
        <v>0.4</v>
      </c>
      <c r="F88" s="47">
        <f>G4+G15+G26+G37+G48+G59+G70</f>
        <v>79.899999999999991</v>
      </c>
      <c r="G88" s="44">
        <f>1-(F88/C88)</f>
        <v>0.4</v>
      </c>
      <c r="H88" s="43">
        <f>I4+I15+I26+I37+I48+I59+I70</f>
        <v>79.899999999999991</v>
      </c>
      <c r="I88" s="44">
        <f>1-(H88/C88)</f>
        <v>0.4</v>
      </c>
      <c r="J88" s="43">
        <f>K4+K15+K26+K37+K48+K59+K70</f>
        <v>79.899999999999991</v>
      </c>
      <c r="K88" s="44">
        <f>1-(J88/C88)</f>
        <v>0.4</v>
      </c>
      <c r="L88" s="43">
        <f>M4+M15+M26+M37+M48+M59+M70</f>
        <v>79.899999999999991</v>
      </c>
      <c r="M88" s="44">
        <f>1-(L88/C88)</f>
        <v>0.4</v>
      </c>
      <c r="N88" s="43">
        <f>O4+O15+O26+O37+O48+O59+O70</f>
        <v>79.899999999999991</v>
      </c>
      <c r="O88" s="44">
        <f>1-(N88/C88)</f>
        <v>0.4</v>
      </c>
      <c r="P88" s="43">
        <f>Q4+Q15+Q26+Q37+Q48+Q59+Q70</f>
        <v>79.899999999999991</v>
      </c>
      <c r="Q88" s="44">
        <f>1-(P88/C88)</f>
        <v>0.4</v>
      </c>
    </row>
    <row r="89" spans="1:17" x14ac:dyDescent="0.45">
      <c r="A89" s="11" t="s">
        <v>49</v>
      </c>
      <c r="B89" s="5" t="s">
        <v>82</v>
      </c>
      <c r="C89" s="52">
        <f t="shared" ref="C89:C97" si="50">$C$85</f>
        <v>133.16666666666666</v>
      </c>
      <c r="D89" s="43">
        <f>E5+E16+E27+E38+E49+E60+E71</f>
        <v>133.16666666666666</v>
      </c>
      <c r="E89" s="44">
        <f t="shared" ref="E89:E97" si="51">1-(D89/C89)</f>
        <v>0</v>
      </c>
      <c r="F89" s="47">
        <f>G5+G16+G27+G38+G49+G60+G71</f>
        <v>133.16666666666666</v>
      </c>
      <c r="G89" s="44">
        <f t="shared" ref="G89:G97" si="52">1-(F89/C89)</f>
        <v>0</v>
      </c>
      <c r="H89" s="43">
        <f>I5+I16+I27+I38+I49+I60+I71</f>
        <v>133.16666666666666</v>
      </c>
      <c r="I89" s="44">
        <f t="shared" ref="I89:I97" si="53">1-(H89/C89)</f>
        <v>0</v>
      </c>
      <c r="J89" s="43">
        <f>K5+K16+K27+K38+K49+K60+K71</f>
        <v>133.16666666666666</v>
      </c>
      <c r="K89" s="44">
        <f t="shared" ref="K89:K97" si="54">1-(J89/C89)</f>
        <v>0</v>
      </c>
      <c r="L89" s="43">
        <f>M5+M16+M27+M38+M49+M60+M71</f>
        <v>133.16666666666666</v>
      </c>
      <c r="M89" s="44">
        <f t="shared" ref="M89:M97" si="55">1-(L89/C89)</f>
        <v>0</v>
      </c>
      <c r="N89" s="43">
        <f>O5+O16+O27+O38+O49+O60+O71</f>
        <v>133.16666666666666</v>
      </c>
      <c r="O89" s="44">
        <f t="shared" ref="O89:O97" si="56">1-(N89/C89)</f>
        <v>0</v>
      </c>
      <c r="P89" s="43">
        <f>Q5+Q16+Q27+Q38+Q49+Q60+Q71</f>
        <v>133.16666666666666</v>
      </c>
      <c r="Q89" s="44">
        <f t="shared" ref="Q89:Q97" si="57">1-(P89/C89)</f>
        <v>0</v>
      </c>
    </row>
    <row r="90" spans="1:17" x14ac:dyDescent="0.45">
      <c r="A90" s="11" t="s">
        <v>57</v>
      </c>
      <c r="B90" s="5" t="s">
        <v>24</v>
      </c>
      <c r="C90" s="52">
        <f t="shared" si="50"/>
        <v>133.16666666666666</v>
      </c>
      <c r="D90" s="43">
        <f>E6+E17+E28+E39+E50+E61+E72</f>
        <v>146.48333333333332</v>
      </c>
      <c r="E90" s="44">
        <f t="shared" si="51"/>
        <v>-0.10000000000000009</v>
      </c>
      <c r="F90" s="47">
        <f>G6+G17+G28+G39+G50+G61+G72</f>
        <v>133.16666666666666</v>
      </c>
      <c r="G90" s="44">
        <f t="shared" si="52"/>
        <v>0</v>
      </c>
      <c r="H90" s="43">
        <f>I6+I17+I28+I39+I50+I61+I72</f>
        <v>133.16666666666666</v>
      </c>
      <c r="I90" s="44">
        <f t="shared" si="53"/>
        <v>0</v>
      </c>
      <c r="J90" s="43">
        <f>K6+K17+K28+K39+K50+K61+K72</f>
        <v>119.85</v>
      </c>
      <c r="K90" s="44">
        <f t="shared" si="54"/>
        <v>9.9999999999999978E-2</v>
      </c>
      <c r="L90" s="43">
        <f>M6+M17+M28+M39+M50+M61+M72</f>
        <v>93.216666666666669</v>
      </c>
      <c r="M90" s="44">
        <f t="shared" si="55"/>
        <v>0.29999999999999993</v>
      </c>
      <c r="N90" s="43">
        <f>O6+O17+O28+O39+O50+O61+O72</f>
        <v>93.216666666666669</v>
      </c>
      <c r="O90" s="44">
        <f t="shared" si="56"/>
        <v>0.29999999999999993</v>
      </c>
      <c r="P90" s="43">
        <f>Q6+Q17+Q28+Q39+Q50+Q61+Q72</f>
        <v>93.216666666666669</v>
      </c>
      <c r="Q90" s="44">
        <f t="shared" si="57"/>
        <v>0.29999999999999993</v>
      </c>
    </row>
    <row r="91" spans="1:17" x14ac:dyDescent="0.45">
      <c r="A91" s="11" t="s">
        <v>50</v>
      </c>
      <c r="B91" s="5" t="s">
        <v>84</v>
      </c>
      <c r="C91" s="52">
        <f>D85</f>
        <v>103.72833333333332</v>
      </c>
      <c r="D91" s="43">
        <f>E7+E18+E29+E40+E51+E62+E73</f>
        <v>103.72833333333332</v>
      </c>
      <c r="E91" s="44">
        <f t="shared" si="51"/>
        <v>0</v>
      </c>
      <c r="F91" s="47">
        <f>G7+G18+G29+G40+G51+G62+G73</f>
        <v>31.118499999999997</v>
      </c>
      <c r="G91" s="44">
        <f t="shared" si="52"/>
        <v>0.7</v>
      </c>
      <c r="H91" s="43">
        <f>I7+I18+I29+I40+I51+I62+I73</f>
        <v>62.236999999999995</v>
      </c>
      <c r="I91" s="44">
        <f t="shared" si="53"/>
        <v>0.4</v>
      </c>
      <c r="J91" s="43">
        <f>K7+K18+K29+K40+K51+K62+K73</f>
        <v>25.932083333333331</v>
      </c>
      <c r="K91" s="44">
        <f t="shared" si="54"/>
        <v>0.75</v>
      </c>
      <c r="L91" s="43">
        <f>M7+M18+M29+M40+M51+M62+M73</f>
        <v>20.745666666666665</v>
      </c>
      <c r="M91" s="44">
        <f t="shared" si="55"/>
        <v>0.8</v>
      </c>
      <c r="N91" s="43">
        <f>O7+O18+O29+O40+O51+O62+O73</f>
        <v>20.745666666666665</v>
      </c>
      <c r="O91" s="44">
        <f t="shared" si="56"/>
        <v>0.8</v>
      </c>
      <c r="P91" s="43">
        <f>Q7+Q18+Q29+Q40+Q51+Q62+Q73</f>
        <v>0</v>
      </c>
      <c r="Q91" s="44">
        <f t="shared" si="57"/>
        <v>1</v>
      </c>
    </row>
    <row r="92" spans="1:17" x14ac:dyDescent="0.45">
      <c r="A92" s="11" t="s">
        <v>51</v>
      </c>
      <c r="B92" s="5" t="s">
        <v>83</v>
      </c>
      <c r="C92" s="52">
        <f t="shared" si="50"/>
        <v>133.16666666666666</v>
      </c>
      <c r="D92" s="43">
        <f>E8+E19+E30+E41+E52+E63+E74</f>
        <v>159.79999999999998</v>
      </c>
      <c r="E92" s="44">
        <f t="shared" si="51"/>
        <v>-0.19999999999999996</v>
      </c>
      <c r="F92" s="47">
        <f>G8+G19+G30+G41+G52+G63+G74</f>
        <v>159.80000000000001</v>
      </c>
      <c r="G92" s="44">
        <f t="shared" si="52"/>
        <v>-0.20000000000000018</v>
      </c>
      <c r="H92" s="43">
        <f>I8+I19+I30+I41+I52+I63+I74</f>
        <v>159.80000000000001</v>
      </c>
      <c r="I92" s="44">
        <f t="shared" si="53"/>
        <v>-0.20000000000000018</v>
      </c>
      <c r="J92" s="43">
        <f>K8+K19+K30+K41+K52+K63+K74</f>
        <v>119.85</v>
      </c>
      <c r="K92" s="44">
        <f t="shared" si="54"/>
        <v>9.9999999999999978E-2</v>
      </c>
      <c r="L92" s="43">
        <f>M8+M19+M30+M41+M52+M63+M74</f>
        <v>53.266666666666666</v>
      </c>
      <c r="M92" s="44">
        <f t="shared" si="55"/>
        <v>0.6</v>
      </c>
      <c r="N92" s="43">
        <f>O8+O19+O30+O41+O52+O63+O74</f>
        <v>46.608333333333327</v>
      </c>
      <c r="O92" s="44">
        <f t="shared" si="56"/>
        <v>0.65</v>
      </c>
      <c r="P92" s="43">
        <f>Q8+Q19+Q30+Q41+Q52+Q63+Q74</f>
        <v>59.924999999999997</v>
      </c>
      <c r="Q92" s="44">
        <f t="shared" si="57"/>
        <v>0.55000000000000004</v>
      </c>
    </row>
    <row r="93" spans="1:17" x14ac:dyDescent="0.45">
      <c r="A93" s="11" t="s">
        <v>52</v>
      </c>
      <c r="B93" s="5" t="s">
        <v>83</v>
      </c>
      <c r="C93" s="52">
        <f t="shared" si="50"/>
        <v>133.16666666666666</v>
      </c>
      <c r="D93" s="43">
        <f>E9+E20+E31+E42+E53+E64+E75</f>
        <v>146.48333333333332</v>
      </c>
      <c r="E93" s="44">
        <f t="shared" si="51"/>
        <v>-0.10000000000000009</v>
      </c>
      <c r="F93" s="47">
        <f>G9+G20+G31+G42+G53+G64+G75</f>
        <v>159.80000000000001</v>
      </c>
      <c r="G93" s="44">
        <f t="shared" si="52"/>
        <v>-0.20000000000000018</v>
      </c>
      <c r="H93" s="43">
        <f>I9+I20+I31+I42+I53+I64+I75</f>
        <v>159.80000000000001</v>
      </c>
      <c r="I93" s="44">
        <f t="shared" si="53"/>
        <v>-0.20000000000000018</v>
      </c>
      <c r="J93" s="43">
        <f>K9+K20+K31+K42+K53+K64+K75</f>
        <v>119.85</v>
      </c>
      <c r="K93" s="44">
        <f t="shared" si="54"/>
        <v>9.9999999999999978E-2</v>
      </c>
      <c r="L93" s="43">
        <f>M9+M20+M31+M42+M53+M64+M75</f>
        <v>53.266666666666666</v>
      </c>
      <c r="M93" s="44">
        <f t="shared" si="55"/>
        <v>0.6</v>
      </c>
      <c r="N93" s="43">
        <f>O9+O20+O31+O42+O53+O64+O75</f>
        <v>46.608333333333327</v>
      </c>
      <c r="O93" s="44">
        <f t="shared" si="56"/>
        <v>0.65</v>
      </c>
      <c r="P93" s="43">
        <f>Q9+Q20+Q31+Q42+Q53+Q64+Q75</f>
        <v>59.924999999999997</v>
      </c>
      <c r="Q93" s="44">
        <f t="shared" si="57"/>
        <v>0.55000000000000004</v>
      </c>
    </row>
    <row r="94" spans="1:17" x14ac:dyDescent="0.45">
      <c r="A94" s="11" t="s">
        <v>53</v>
      </c>
      <c r="B94" s="5" t="s">
        <v>84</v>
      </c>
      <c r="C94" s="52">
        <f t="shared" si="50"/>
        <v>133.16666666666666</v>
      </c>
      <c r="D94" s="43">
        <f>E10+E21+E32+E43+E54+E65+E76</f>
        <v>133.16666666666666</v>
      </c>
      <c r="E94" s="44">
        <f t="shared" si="51"/>
        <v>0</v>
      </c>
      <c r="F94" s="47">
        <f>G10+G21+G32+G43+G54+G65+G76</f>
        <v>119.84999999999998</v>
      </c>
      <c r="G94" s="44">
        <f t="shared" si="52"/>
        <v>0.10000000000000009</v>
      </c>
      <c r="H94" s="43">
        <f>I10+I21+I32+I43+I54+I65+I76</f>
        <v>59.924999999999997</v>
      </c>
      <c r="I94" s="44">
        <f t="shared" si="53"/>
        <v>0.55000000000000004</v>
      </c>
      <c r="J94" s="43">
        <f>K10+K21+K32+K43+K54+K65+K76</f>
        <v>26.633333333333333</v>
      </c>
      <c r="K94" s="44">
        <f t="shared" si="54"/>
        <v>0.8</v>
      </c>
      <c r="L94" s="43">
        <f>M10+M21+M32+M43+M54+M65+M76</f>
        <v>13.316666666666666</v>
      </c>
      <c r="M94" s="44">
        <f t="shared" si="55"/>
        <v>0.9</v>
      </c>
      <c r="N94" s="43">
        <f>O10+O21+O32+O43+O54+O65+O76</f>
        <v>13.316666666666666</v>
      </c>
      <c r="O94" s="44">
        <f t="shared" si="56"/>
        <v>0.9</v>
      </c>
      <c r="P94" s="43">
        <f>Q10+Q21+Q32+Q43+Q54+Q65+Q76</f>
        <v>13.316666666666666</v>
      </c>
      <c r="Q94" s="44">
        <f t="shared" si="57"/>
        <v>0.9</v>
      </c>
    </row>
    <row r="95" spans="1:17" x14ac:dyDescent="0.45">
      <c r="A95" s="11" t="s">
        <v>54</v>
      </c>
      <c r="B95" s="5" t="s">
        <v>84</v>
      </c>
      <c r="C95" s="52">
        <f t="shared" si="50"/>
        <v>133.16666666666666</v>
      </c>
      <c r="D95" s="43">
        <f>E11+E22+E33+E44+E55+E66+E77</f>
        <v>133.16666666666666</v>
      </c>
      <c r="E95" s="44">
        <f t="shared" si="51"/>
        <v>0</v>
      </c>
      <c r="F95" s="47">
        <f>G11+G22+G33+G44+G55+G66+G77</f>
        <v>106.53333333333332</v>
      </c>
      <c r="G95" s="44">
        <f t="shared" si="52"/>
        <v>0.20000000000000007</v>
      </c>
      <c r="H95" s="43">
        <f>I11+I22+I33+I44+I55+I66+I77</f>
        <v>106.53333333333333</v>
      </c>
      <c r="I95" s="44">
        <f t="shared" si="53"/>
        <v>0.19999999999999996</v>
      </c>
      <c r="J95" s="43">
        <f>K11+K22+K33+K44+K55+K66+K77</f>
        <v>46.608333333333334</v>
      </c>
      <c r="K95" s="44">
        <f t="shared" si="54"/>
        <v>0.64999999999999991</v>
      </c>
      <c r="L95" s="43">
        <f>M11+M22+M33+M44+M55+M66+M77</f>
        <v>46.608333333333334</v>
      </c>
      <c r="M95" s="44">
        <f t="shared" si="55"/>
        <v>0.64999999999999991</v>
      </c>
      <c r="N95" s="43">
        <f>O11+O22+O33+O44+O55+O66+O77</f>
        <v>46.608333333333334</v>
      </c>
      <c r="O95" s="44">
        <f t="shared" si="56"/>
        <v>0.64999999999999991</v>
      </c>
      <c r="P95" s="43">
        <f>Q11+Q22+Q33+Q44+Q55+Q66+Q77</f>
        <v>19.974999999999998</v>
      </c>
      <c r="Q95" s="44">
        <f t="shared" si="57"/>
        <v>0.85</v>
      </c>
    </row>
    <row r="96" spans="1:17" x14ac:dyDescent="0.45">
      <c r="A96" s="11" t="s">
        <v>55</v>
      </c>
      <c r="B96" s="5" t="s">
        <v>83</v>
      </c>
      <c r="C96" s="52">
        <f t="shared" si="50"/>
        <v>133.16666666666666</v>
      </c>
      <c r="D96" s="43">
        <f>E12+E23+E34+E45+E56+E67+E78</f>
        <v>113.19166666666666</v>
      </c>
      <c r="E96" s="44">
        <f t="shared" si="51"/>
        <v>0.15000000000000002</v>
      </c>
      <c r="F96" s="47">
        <f>G12+G23+G34+G45+G56+G67+G78</f>
        <v>99.875</v>
      </c>
      <c r="G96" s="44">
        <f t="shared" si="52"/>
        <v>0.25</v>
      </c>
      <c r="H96" s="43">
        <f>I12+I23+I34+I45+I56+I67+I78</f>
        <v>79.899999999999991</v>
      </c>
      <c r="I96" s="44">
        <f t="shared" si="53"/>
        <v>0.4</v>
      </c>
      <c r="J96" s="43">
        <f>K12+K23+K34+K45+K56+K67+K78</f>
        <v>46.608333333333334</v>
      </c>
      <c r="K96" s="44">
        <f t="shared" si="54"/>
        <v>0.64999999999999991</v>
      </c>
      <c r="L96" s="43">
        <f>M12+M23+M34+M45+M56+M67+M78</f>
        <v>26.633333333333333</v>
      </c>
      <c r="M96" s="44">
        <f t="shared" si="55"/>
        <v>0.8</v>
      </c>
      <c r="N96" s="43">
        <f>O12+O23+O34+O45+O56+O67+O78</f>
        <v>26.633333333333333</v>
      </c>
      <c r="O96" s="44">
        <f t="shared" si="56"/>
        <v>0.8</v>
      </c>
      <c r="P96" s="43">
        <f>Q12+Q23+Q34+Q45+Q56+Q67+Q78</f>
        <v>0</v>
      </c>
      <c r="Q96" s="44">
        <f t="shared" si="57"/>
        <v>1</v>
      </c>
    </row>
    <row r="97" spans="1:17" ht="14.65" thickBot="1" x14ac:dyDescent="0.5">
      <c r="A97" s="11" t="s">
        <v>56</v>
      </c>
      <c r="B97" s="5" t="s">
        <v>83</v>
      </c>
      <c r="C97" s="53">
        <f t="shared" si="50"/>
        <v>133.16666666666666</v>
      </c>
      <c r="D97" s="45">
        <f>E13+E24+E35+E46+E57+E68+E79</f>
        <v>213.06666666666666</v>
      </c>
      <c r="E97" s="46">
        <f t="shared" si="51"/>
        <v>-0.60000000000000009</v>
      </c>
      <c r="F97" s="48">
        <f>G13+G24+G35+G46+G57+G68+G79</f>
        <v>179.77500000000001</v>
      </c>
      <c r="G97" s="46">
        <f t="shared" si="52"/>
        <v>-0.35000000000000009</v>
      </c>
      <c r="H97" s="45">
        <f>I13+I24+I35+I46+I57+I68+I79</f>
        <v>159.79999999999998</v>
      </c>
      <c r="I97" s="46">
        <f t="shared" si="53"/>
        <v>-0.19999999999999996</v>
      </c>
      <c r="J97" s="45">
        <f>K13+K24+K35+K46+K57+K68+K79</f>
        <v>99.875</v>
      </c>
      <c r="K97" s="46">
        <f t="shared" si="54"/>
        <v>0.25</v>
      </c>
      <c r="L97" s="45">
        <f>M13+M24+M35+M46+M57+M68+M79</f>
        <v>79.900000000000006</v>
      </c>
      <c r="M97" s="46">
        <f t="shared" si="55"/>
        <v>0.39999999999999991</v>
      </c>
      <c r="N97" s="45">
        <f>O13+O24+O35+O46+O57+O68+O79</f>
        <v>79.900000000000006</v>
      </c>
      <c r="O97" s="46">
        <f t="shared" si="56"/>
        <v>0.39999999999999991</v>
      </c>
      <c r="P97" s="45">
        <f>Q13+Q24+Q35+Q46+Q57+Q68+Q79</f>
        <v>53.266666666666666</v>
      </c>
      <c r="Q97" s="46">
        <f t="shared" si="57"/>
        <v>0.6</v>
      </c>
    </row>
    <row r="98" spans="1:17" x14ac:dyDescent="0.45">
      <c r="C98" s="5"/>
      <c r="E98"/>
      <c r="F98" s="10"/>
    </row>
    <row r="99" spans="1:17" x14ac:dyDescent="0.45">
      <c r="A99" t="s">
        <v>85</v>
      </c>
      <c r="C99" s="5"/>
      <c r="E99"/>
      <c r="F99" s="10"/>
    </row>
    <row r="100" spans="1:17" x14ac:dyDescent="0.45">
      <c r="A100" t="s">
        <v>80</v>
      </c>
      <c r="C100" s="5"/>
      <c r="D100" s="6">
        <f>SUM(D88:D97)</f>
        <v>1362.1533333333332</v>
      </c>
      <c r="E100"/>
      <c r="F100" s="6">
        <f>SUM(F88:F97)</f>
        <v>1202.9851666666666</v>
      </c>
      <c r="H100" s="6">
        <f>SUM(H88:H97)</f>
        <v>1134.2286666666666</v>
      </c>
      <c r="J100" s="6">
        <f>SUM(J88:J97)</f>
        <v>818.27374999999995</v>
      </c>
      <c r="L100" s="6">
        <f>SUM(L88:L97)</f>
        <v>600.02066666666667</v>
      </c>
      <c r="N100" s="6">
        <f>SUM(N88:N97)</f>
        <v>586.70400000000006</v>
      </c>
      <c r="P100" s="6">
        <f>SUM(P88:P97)</f>
        <v>512.69166666666672</v>
      </c>
    </row>
    <row r="101" spans="1:17" x14ac:dyDescent="0.45">
      <c r="A101" t="s">
        <v>81</v>
      </c>
      <c r="C101" s="5"/>
      <c r="D101" s="6">
        <f>SUM($C$88:$C$97)</f>
        <v>1302.2283333333335</v>
      </c>
      <c r="E101"/>
      <c r="F101" s="6">
        <f>SUM($C$88:$C$97)</f>
        <v>1302.2283333333335</v>
      </c>
      <c r="H101" s="6">
        <f>SUM($C$88:$C$97)</f>
        <v>1302.2283333333335</v>
      </c>
      <c r="J101" s="6">
        <f>SUM($C$88:$C$97)</f>
        <v>1302.2283333333335</v>
      </c>
      <c r="L101" s="6">
        <f>SUM($C$88:$C$97)</f>
        <v>1302.2283333333335</v>
      </c>
      <c r="N101" s="6">
        <f>SUM($C$88:$C$97)</f>
        <v>1302.2283333333335</v>
      </c>
      <c r="P101" s="6">
        <f>SUM($C$88:$C$97)</f>
        <v>1302.2283333333335</v>
      </c>
    </row>
    <row r="103" spans="1:17" x14ac:dyDescent="0.45">
      <c r="A103" t="s">
        <v>82</v>
      </c>
      <c r="B103" s="4" t="s">
        <v>80</v>
      </c>
      <c r="D103" s="9">
        <f>D88+D89</f>
        <v>213.06666666666666</v>
      </c>
      <c r="F103" s="9">
        <f>F88+F89</f>
        <v>213.06666666666666</v>
      </c>
      <c r="H103" s="9">
        <f>H88+H89</f>
        <v>213.06666666666666</v>
      </c>
      <c r="J103" s="9">
        <f>J88+J89</f>
        <v>213.06666666666666</v>
      </c>
      <c r="L103" s="9">
        <f>L88+L89</f>
        <v>213.06666666666666</v>
      </c>
      <c r="N103" s="9">
        <f>N88+N89</f>
        <v>213.06666666666666</v>
      </c>
      <c r="P103" s="9">
        <f>P88+P89</f>
        <v>213.06666666666666</v>
      </c>
    </row>
    <row r="104" spans="1:17" x14ac:dyDescent="0.45">
      <c r="B104" s="4" t="s">
        <v>81</v>
      </c>
      <c r="D104" s="9">
        <f>$C$88+$C$89</f>
        <v>266.33333333333331</v>
      </c>
      <c r="F104" s="9">
        <f>$C$88+$C$89</f>
        <v>266.33333333333331</v>
      </c>
      <c r="H104" s="63">
        <f>$C$89</f>
        <v>133.16666666666666</v>
      </c>
      <c r="J104" s="63">
        <f>$C$89</f>
        <v>133.16666666666666</v>
      </c>
      <c r="L104" s="63">
        <f>$C$89</f>
        <v>133.16666666666666</v>
      </c>
      <c r="N104" s="63">
        <f>$C$89</f>
        <v>133.16666666666666</v>
      </c>
      <c r="P104" s="63">
        <f>$C$89</f>
        <v>133.16666666666666</v>
      </c>
    </row>
    <row r="105" spans="1:17" x14ac:dyDescent="0.45">
      <c r="A105" t="s">
        <v>24</v>
      </c>
      <c r="B105" s="4" t="s">
        <v>80</v>
      </c>
      <c r="D105" s="9">
        <f>D90</f>
        <v>146.48333333333332</v>
      </c>
      <c r="F105" s="9">
        <f>F90</f>
        <v>133.16666666666666</v>
      </c>
      <c r="H105" s="9">
        <f>H90</f>
        <v>133.16666666666666</v>
      </c>
      <c r="J105" s="9">
        <f>J90</f>
        <v>119.85</v>
      </c>
      <c r="L105" s="9">
        <f>L90</f>
        <v>93.216666666666669</v>
      </c>
      <c r="N105" s="9">
        <f>N90</f>
        <v>93.216666666666669</v>
      </c>
      <c r="P105" s="9">
        <f>P90</f>
        <v>93.216666666666669</v>
      </c>
    </row>
    <row r="106" spans="1:17" x14ac:dyDescent="0.45">
      <c r="B106" s="4" t="s">
        <v>81</v>
      </c>
      <c r="D106" s="9">
        <f>$C$90</f>
        <v>133.16666666666666</v>
      </c>
      <c r="F106" s="63">
        <v>0</v>
      </c>
      <c r="H106" s="63">
        <v>0</v>
      </c>
      <c r="J106" s="63">
        <v>0</v>
      </c>
      <c r="L106" s="63">
        <v>0</v>
      </c>
      <c r="N106" s="63">
        <v>0</v>
      </c>
      <c r="P106" s="63">
        <v>0</v>
      </c>
    </row>
    <row r="107" spans="1:17" x14ac:dyDescent="0.45">
      <c r="A107" s="5" t="s">
        <v>84</v>
      </c>
      <c r="B107" s="4" t="s">
        <v>80</v>
      </c>
      <c r="D107" s="9">
        <f>D91+D94+D95</f>
        <v>370.06166666666661</v>
      </c>
      <c r="F107" s="9">
        <f>F91+F94+F95</f>
        <v>257.50183333333331</v>
      </c>
      <c r="H107" s="9">
        <f>H91+H94+H95</f>
        <v>228.69533333333334</v>
      </c>
      <c r="J107" s="9">
        <f>J91+J94+J95</f>
        <v>99.173749999999998</v>
      </c>
      <c r="L107" s="9">
        <f>L91+L94+L95</f>
        <v>80.670666666666662</v>
      </c>
      <c r="N107" s="9">
        <f>N91+N94+N95</f>
        <v>80.670666666666662</v>
      </c>
      <c r="P107" s="9">
        <f>P91+P94+P95</f>
        <v>33.291666666666664</v>
      </c>
    </row>
    <row r="108" spans="1:17" x14ac:dyDescent="0.45">
      <c r="A108" s="5"/>
      <c r="B108" s="4" t="s">
        <v>81</v>
      </c>
      <c r="D108" s="9">
        <f>$C$91+$C$94+$C$95</f>
        <v>370.06166666666661</v>
      </c>
      <c r="F108" s="9">
        <f>$C$91+$C$94+$C$95</f>
        <v>370.06166666666661</v>
      </c>
      <c r="H108" s="9">
        <f>$C$91+$C$94+$C$95</f>
        <v>370.06166666666661</v>
      </c>
      <c r="J108" s="9">
        <f>$C$91+$C$94+$C$95</f>
        <v>370.06166666666661</v>
      </c>
      <c r="L108" s="9">
        <f>$C$91+$C$94+$C$95</f>
        <v>370.06166666666661</v>
      </c>
      <c r="N108" s="9">
        <f>$C$91+$C$94+$C$95</f>
        <v>370.06166666666661</v>
      </c>
      <c r="P108" s="9">
        <f>$C$91+$C$94+$C$95</f>
        <v>370.06166666666661</v>
      </c>
    </row>
    <row r="109" spans="1:17" x14ac:dyDescent="0.45">
      <c r="A109" s="5" t="s">
        <v>83</v>
      </c>
      <c r="B109" s="4" t="s">
        <v>80</v>
      </c>
      <c r="D109" s="9">
        <f>D92+D93+D96+D97</f>
        <v>632.54166666666663</v>
      </c>
      <c r="F109" s="9">
        <f>F92+F93+F96+F97</f>
        <v>599.25</v>
      </c>
      <c r="H109" s="9">
        <f>H92+H93+H96+H97</f>
        <v>559.29999999999995</v>
      </c>
      <c r="J109" s="9">
        <f>J92+J93+J96+J97</f>
        <v>386.18333333333334</v>
      </c>
      <c r="L109" s="9">
        <f>L92+L93+L96+L97</f>
        <v>213.06666666666666</v>
      </c>
      <c r="N109" s="9">
        <f>N92+N93+N96+N97</f>
        <v>199.75</v>
      </c>
      <c r="P109" s="9">
        <f>P92+P93+P96+P97</f>
        <v>173.11666666666667</v>
      </c>
    </row>
    <row r="110" spans="1:17" x14ac:dyDescent="0.45">
      <c r="B110" s="4" t="s">
        <v>81</v>
      </c>
      <c r="D110" s="9">
        <f>$C$92+$C$93+$C$96+$C$97</f>
        <v>532.66666666666663</v>
      </c>
      <c r="F110" s="9">
        <f>$C$92+$C$93+$C$96+$C$97</f>
        <v>532.66666666666663</v>
      </c>
      <c r="H110" s="9">
        <f>$C$92+$C$93+$C$96+$C$97</f>
        <v>532.66666666666663</v>
      </c>
      <c r="J110" s="9">
        <f>$C$92+$C$93+$C$96+$C$97</f>
        <v>532.66666666666663</v>
      </c>
      <c r="L110" s="9">
        <f>$C$92+$C$93+$C$96+$C$97</f>
        <v>532.66666666666663</v>
      </c>
      <c r="N110" s="9">
        <f>$C$92+$C$93+$C$96+$C$97</f>
        <v>532.66666666666663</v>
      </c>
      <c r="P110" s="9">
        <f>$C$92+$C$93+$C$96+$C$97</f>
        <v>532.66666666666663</v>
      </c>
    </row>
    <row r="115" spans="4:4" x14ac:dyDescent="0.45">
      <c r="D115" t="s">
        <v>86</v>
      </c>
    </row>
    <row r="116" spans="4:4" x14ac:dyDescent="0.45">
      <c r="D116" t="s">
        <v>87</v>
      </c>
    </row>
  </sheetData>
  <mergeCells count="8">
    <mergeCell ref="M2:N2"/>
    <mergeCell ref="O2:P2"/>
    <mergeCell ref="Q2:R2"/>
    <mergeCell ref="E1:F1"/>
    <mergeCell ref="E2:F2"/>
    <mergeCell ref="G2:H2"/>
    <mergeCell ref="I2:J2"/>
    <mergeCell ref="K2:L2"/>
  </mergeCells>
  <phoneticPr fontId="3" type="noConversion"/>
  <conditionalFormatting sqref="E88:E97 G88:G97 I88:I97 K88:K97 M88:M97 O88:O97 Q88:Q97">
    <cfRule type="colorScale" priority="1">
      <colorScale>
        <cfvo type="percent" val="0"/>
        <cfvo type="percent" val="50"/>
        <cfvo type="percent" val="100"/>
        <color rgb="FFF8696B"/>
        <color theme="6" tint="0.79998168889431442"/>
        <color rgb="FF63BE7B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19BCC-F937-4E39-BED1-2B4F7FFB3224}">
  <dimension ref="A1:M1"/>
  <sheetViews>
    <sheetView workbookViewId="0">
      <selection activeCell="F16" sqref="F16"/>
    </sheetView>
  </sheetViews>
  <sheetFormatPr defaultRowHeight="14.25" x14ac:dyDescent="0.45"/>
  <cols>
    <col min="1" max="12" width="12.3984375" customWidth="1"/>
    <col min="13" max="13" width="19.73046875" customWidth="1"/>
  </cols>
  <sheetData>
    <row r="1" spans="1:13" x14ac:dyDescent="0.45">
      <c r="A1" s="1" t="s">
        <v>6</v>
      </c>
      <c r="B1" s="1" t="s">
        <v>16</v>
      </c>
      <c r="C1" s="1" t="s">
        <v>63</v>
      </c>
      <c r="D1" s="1" t="s">
        <v>2</v>
      </c>
      <c r="E1" s="2" t="s">
        <v>64</v>
      </c>
      <c r="F1" s="2" t="s">
        <v>65</v>
      </c>
      <c r="G1" s="2" t="s">
        <v>66</v>
      </c>
      <c r="H1" s="2" t="s">
        <v>67</v>
      </c>
      <c r="I1" s="2" t="s">
        <v>68</v>
      </c>
      <c r="J1" s="2" t="s">
        <v>69</v>
      </c>
      <c r="K1" s="2" t="s">
        <v>70</v>
      </c>
      <c r="L1" s="1" t="s">
        <v>71</v>
      </c>
      <c r="M1" s="1" t="s">
        <v>72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3252719784B49B6AA8E6B7209DF98" ma:contentTypeVersion="10" ma:contentTypeDescription="Create a new document." ma:contentTypeScope="" ma:versionID="82fc3720a37192f99b690c0cecb19dc6">
  <xsd:schema xmlns:xsd="http://www.w3.org/2001/XMLSchema" xmlns:xs="http://www.w3.org/2001/XMLSchema" xmlns:p="http://schemas.microsoft.com/office/2006/metadata/properties" xmlns:ns2="2261f4e5-8d32-41c2-8174-849a734160ba" xmlns:ns3="d2cc1e80-8e5d-4355-a79d-027c099f7ee3" targetNamespace="http://schemas.microsoft.com/office/2006/metadata/properties" ma:root="true" ma:fieldsID="5cff2a354b39c7186af54fd54c7d5ab5" ns2:_="" ns3:_="">
    <xsd:import namespace="2261f4e5-8d32-41c2-8174-849a734160ba"/>
    <xsd:import namespace="d2cc1e80-8e5d-4355-a79d-027c099f7e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61f4e5-8d32-41c2-8174-849a734160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4b8973b-0550-4df5-8b9b-547e8a0f23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cc1e80-8e5d-4355-a79d-027c099f7ee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a3d8623-6373-4366-83d7-5805e415ce6f}" ma:internalName="TaxCatchAll" ma:showField="CatchAllData" ma:web="d2cc1e80-8e5d-4355-a79d-027c099f7e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61f4e5-8d32-41c2-8174-849a734160ba">
      <Terms xmlns="http://schemas.microsoft.com/office/infopath/2007/PartnerControls"/>
    </lcf76f155ced4ddcb4097134ff3c332f>
    <TaxCatchAll xmlns="d2cc1e80-8e5d-4355-a79d-027c099f7ee3" xsi:nil="true"/>
  </documentManagement>
</p:properties>
</file>

<file path=customXml/itemProps1.xml><?xml version="1.0" encoding="utf-8"?>
<ds:datastoreItem xmlns:ds="http://schemas.openxmlformats.org/officeDocument/2006/customXml" ds:itemID="{EF65F30D-6889-4E90-9E7C-C410C4A6A1B3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79820F7-9D2B-42F1-B312-F8DB576B35E5}"/>
</file>

<file path=customXml/itemProps3.xml><?xml version="1.0" encoding="utf-8"?>
<ds:datastoreItem xmlns:ds="http://schemas.openxmlformats.org/officeDocument/2006/customXml" ds:itemID="{CED12DC8-EB64-44DC-A654-8B23D252C749}"/>
</file>

<file path=customXml/itemProps4.xml><?xml version="1.0" encoding="utf-8"?>
<ds:datastoreItem xmlns:ds="http://schemas.openxmlformats.org/officeDocument/2006/customXml" ds:itemID="{9876B487-CB37-4662-9E22-FFDA4B945D0F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Resource</vt:lpstr>
      <vt:lpstr>Sheet3</vt:lpstr>
      <vt:lpstr>PM Request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Jim Latto (Dutch Clean Tech)</cp:lastModifiedBy>
  <cp:revision/>
  <dcterms:created xsi:type="dcterms:W3CDTF">2026-06-02T11:03:08Z</dcterms:created>
  <dcterms:modified xsi:type="dcterms:W3CDTF">2026-06-03T09:55:47Z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0x010100AD63252719784B49B6AA8E6B7209DF98</vt:lpwstr>
  </property>
</Properties>
</file>